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999f746eca5332/Documents/"/>
    </mc:Choice>
  </mc:AlternateContent>
  <xr:revisionPtr revIDLastSave="139" documentId="8_{8A3403AC-6326-400B-B4B2-3A8FB558A3AA}" xr6:coauthVersionLast="47" xr6:coauthVersionMax="47" xr10:uidLastSave="{01D8AC8A-22AB-4853-8510-9370BFA1EB16}"/>
  <bookViews>
    <workbookView xWindow="-108" yWindow="-108" windowWidth="23256" windowHeight="12456" firstSheet="3" activeTab="7" xr2:uid="{B329B000-6845-42E1-96EF-4DB882233CED}"/>
  </bookViews>
  <sheets>
    <sheet name="PROBLEM" sheetId="1" r:id="rId1"/>
    <sheet name="JOURNAL " sheetId="2" r:id="rId2"/>
    <sheet name="LEDGER" sheetId="3" r:id="rId3"/>
    <sheet name="TRIAL BALANCE" sheetId="4" r:id="rId4"/>
    <sheet name="TRADING ACCOUNT" sheetId="5" r:id="rId5"/>
    <sheet name="P&amp;L ACCOUNT" sheetId="6" r:id="rId6"/>
    <sheet name="BALANCE SHEET" sheetId="7" r:id="rId7"/>
    <sheet name="Sheet1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10" l="1"/>
  <c r="C36" i="10"/>
  <c r="C37" i="10" s="1"/>
  <c r="C32" i="10"/>
  <c r="C27" i="10"/>
  <c r="C22" i="10"/>
  <c r="C17" i="10"/>
  <c r="C12" i="10"/>
  <c r="C7" i="10"/>
</calcChain>
</file>

<file path=xl/sharedStrings.xml><?xml version="1.0" encoding="utf-8"?>
<sst xmlns="http://schemas.openxmlformats.org/spreadsheetml/2006/main" count="1073" uniqueCount="430">
  <si>
    <t>The following are the balances extracted from the books of M/s Bright Traders as on 1 March 2026 and the transactions entered during the month of March 2026.</t>
  </si>
  <si>
    <t>From the following information, prepare:</t>
  </si>
  <si>
    <t>1. Journal Entries</t>
  </si>
  <si>
    <t>2. Ledger Accounts</t>
  </si>
  <si>
    <t>3. Trial Balance</t>
  </si>
  <si>
    <t>4. Trading Account</t>
  </si>
  <si>
    <t>5. Profit &amp; Loss Account</t>
  </si>
  <si>
    <t>6. Balance Sheet as on 31st March 2026</t>
  </si>
  <si>
    <t>Opening Balances as on 1st March 2026</t>
  </si>
  <si>
    <t>Particulars</t>
  </si>
  <si>
    <t>Amount (₹)</t>
  </si>
  <si>
    <t>Cash in Hand</t>
  </si>
  <si>
    <t>Cash at Bank</t>
  </si>
  <si>
    <t>Opening Stock</t>
  </si>
  <si>
    <t>Furniture</t>
  </si>
  <si>
    <t>Machinery</t>
  </si>
  <si>
    <t>Computer</t>
  </si>
  <si>
    <t>Debtors – Manoj Stores</t>
  </si>
  <si>
    <t>Debtors – Deepa Stores</t>
  </si>
  <si>
    <t>Creditors – Ravi Traders</t>
  </si>
  <si>
    <t>Creditors – Siva Suppliers</t>
  </si>
  <si>
    <t>Capital</t>
  </si>
  <si>
    <t>Bank Loan</t>
  </si>
  <si>
    <t>Transactions for March 2026</t>
  </si>
  <si>
    <t>Date</t>
  </si>
  <si>
    <t>Transactions</t>
  </si>
  <si>
    <t>Monday, March 02, 2026</t>
  </si>
  <si>
    <t>Purchased goods from Ravi Traders on credit ₹1,10,000</t>
  </si>
  <si>
    <t>Tuesday, March 03, 2026</t>
  </si>
  <si>
    <t>Purchased goods for cash ₹35,000</t>
  </si>
  <si>
    <t>Wednesday, March 04, 2026</t>
  </si>
  <si>
    <t>Sold goods to Manoj Stores on credit ₹1,60,000</t>
  </si>
  <si>
    <t>Thursday, March 05, 2026</t>
  </si>
  <si>
    <t>Sold goods for cash ₹75,000</t>
  </si>
  <si>
    <t>Friday, March 06, 2026</t>
  </si>
  <si>
    <t>Paid carriage inward ₹4,500</t>
  </si>
  <si>
    <t>Saturday, March 07, 2026</t>
  </si>
  <si>
    <t>Paid wages ₹15,000</t>
  </si>
  <si>
    <t>Sunday, March 08, 2026</t>
  </si>
  <si>
    <t>Returned goods to Ravi Traders worth ₹12,000</t>
  </si>
  <si>
    <t>Monday, March 09, 2026</t>
  </si>
  <si>
    <t>Manoj Stores returned goods worth ₹10,000</t>
  </si>
  <si>
    <t>Tuesday, March 10, 2026</t>
  </si>
  <si>
    <t>Purchased office equipment by cheque ₹50,000</t>
  </si>
  <si>
    <t>Wednesday, March 11, 2026</t>
  </si>
  <si>
    <t>Paid salary ₹22,000</t>
  </si>
  <si>
    <t>Thursday, March 12, 2026</t>
  </si>
  <si>
    <t>Received ₹2,10,000 from Manoj Stores and allowed discount ₹6,000</t>
  </si>
  <si>
    <t>Friday, March 13, 2026</t>
  </si>
  <si>
    <t>Paid Ravi Traders ₹1,50,000 by cheque and received discount ₹7,000</t>
  </si>
  <si>
    <t>Saturday, March 14, 2026</t>
  </si>
  <si>
    <t>Paid office rent ₹18,000</t>
  </si>
  <si>
    <t>Sunday, March 15, 2026</t>
  </si>
  <si>
    <t>Purchased goods on credit from Siva Suppliers ₹85,000</t>
  </si>
  <si>
    <t>Monday, March 16, 2026</t>
  </si>
  <si>
    <t>Sold goods on credit to Deepa Stores ₹1,20,000</t>
  </si>
  <si>
    <t>Tuesday, March 17, 2026</t>
  </si>
  <si>
    <t>Received ₹1,10,000 from Deepa Stores through bank</t>
  </si>
  <si>
    <t>Wednesday, March 18, 2026</t>
  </si>
  <si>
    <t>Paid electricity charges ₹5,500</t>
  </si>
  <si>
    <t>Thursday, March 19, 2026</t>
  </si>
  <si>
    <t>Received commission ₹9,000 in cash</t>
  </si>
  <si>
    <t>Friday, March 20, 2026</t>
  </si>
  <si>
    <t>Withdrew cash from bank for office use ₹20,000</t>
  </si>
  <si>
    <t>Saturday, March 21, 2026</t>
  </si>
  <si>
    <t>Drawings by proprietor in cash ₹12,000</t>
  </si>
  <si>
    <t>Sunday, March 22, 2026</t>
  </si>
  <si>
    <t>Paid insurance premium by cheque ₹6,000</t>
  </si>
  <si>
    <t>Monday, March 23, 2026</t>
  </si>
  <si>
    <t>Paid carriage outward ₹4,000</t>
  </si>
  <si>
    <t>Tuesday, March 24, 2026</t>
  </si>
  <si>
    <t>Received interest from bank ₹3,000</t>
  </si>
  <si>
    <t>Wednesday, March 25, 2026</t>
  </si>
  <si>
    <t>Purchased goods for cash ₹30,000</t>
  </si>
  <si>
    <t>Thursday, March 26, 2026</t>
  </si>
  <si>
    <t>Paid advertisement expenses ₹8,500</t>
  </si>
  <si>
    <t>Friday, March 27, 2026</t>
  </si>
  <si>
    <t>Paid miscellaneous expenses ₹2,500</t>
  </si>
  <si>
    <t>Saturday, March 28, 2026</t>
  </si>
  <si>
    <t>Purchased furniture for cash ₹25,000</t>
  </si>
  <si>
    <t>Sunday, March 29, 2026</t>
  </si>
  <si>
    <t>Paid bank loan interest ₹5,000</t>
  </si>
  <si>
    <t>Monday, March 30, 2026</t>
  </si>
  <si>
    <t>Deposited additional cash into bank ₹40,000</t>
  </si>
  <si>
    <t>Additional Information</t>
  </si>
  <si>
    <t>1. Closing stock on 31st March 2026 was valued at ₹1,10,000.</t>
  </si>
  <si>
    <t>2. Depreciate machinery @ 10% p.a.</t>
  </si>
  <si>
    <t>3. Depreciate furniture @ 5% p.a.</t>
  </si>
  <si>
    <t>4. Depreciate computer @ 10% p.a.</t>
  </si>
  <si>
    <t>5. Depreciate office equipment @ 10% p.a.</t>
  </si>
  <si>
    <t>6. Outstanding salary ₹3,000.</t>
  </si>
  <si>
    <t>7. Prepaid insurance ₹1,500.</t>
  </si>
  <si>
    <t>8. Interest on bank loan accrued but not paid ₹2,000.</t>
  </si>
  <si>
    <t>In the Books of Journal Entries of Ms Bright Traders for the Month Ended 31st March 2026</t>
  </si>
  <si>
    <t>L.F</t>
  </si>
  <si>
    <t>Debit ₹</t>
  </si>
  <si>
    <t>Credit ₹</t>
  </si>
  <si>
    <t>01.03.2026</t>
  </si>
  <si>
    <t>Cash A/C</t>
  </si>
  <si>
    <t>Dr.</t>
  </si>
  <si>
    <t>Bank A/C</t>
  </si>
  <si>
    <t>Opening Stock A/C</t>
  </si>
  <si>
    <t>Furniture A/C</t>
  </si>
  <si>
    <t>Machinery A/C</t>
  </si>
  <si>
    <t>Computer A/C</t>
  </si>
  <si>
    <t>Manoj Stores A/C</t>
  </si>
  <si>
    <t>Deepa Stores A/C</t>
  </si>
  <si>
    <t xml:space="preserve">  To Ravi Traders A/C</t>
  </si>
  <si>
    <t xml:space="preserve">  To Siva Suppliers A/C</t>
  </si>
  <si>
    <t xml:space="preserve">  To Bank Loan A/C</t>
  </si>
  <si>
    <t xml:space="preserve">  To Capital A/C</t>
  </si>
  <si>
    <t>(Being Opening Balance of Bright Traders)</t>
  </si>
  <si>
    <t>02.03.2026</t>
  </si>
  <si>
    <t>Purchased A/C</t>
  </si>
  <si>
    <t>(Being Purchased goods from Ravi Traders on credit)</t>
  </si>
  <si>
    <t>03.03.2026</t>
  </si>
  <si>
    <t xml:space="preserve">  To Cash A/C</t>
  </si>
  <si>
    <t>(Being Purchased goods for cash)</t>
  </si>
  <si>
    <t>04.03.2026</t>
  </si>
  <si>
    <t xml:space="preserve">  To Sales A/C</t>
  </si>
  <si>
    <t>(Being Sold goods to Manoj Stores on credit)</t>
  </si>
  <si>
    <t>05.03.2026</t>
  </si>
  <si>
    <t>(Being Sold Goods for Cash)</t>
  </si>
  <si>
    <t>06.03.2026</t>
  </si>
  <si>
    <t>Carriage Inwards A/C</t>
  </si>
  <si>
    <t>(Being Paid carriage inward)</t>
  </si>
  <si>
    <t>07.03.2026</t>
  </si>
  <si>
    <t>Wages A/C</t>
  </si>
  <si>
    <t>(Being Paid wages)</t>
  </si>
  <si>
    <t>08.03.2026</t>
  </si>
  <si>
    <t>Ravi Traders A/C</t>
  </si>
  <si>
    <t xml:space="preserve">  To Purchase Return A/C</t>
  </si>
  <si>
    <t>(Being Returned goods to Ravi Traders)</t>
  </si>
  <si>
    <t>09.03.2026</t>
  </si>
  <si>
    <t>Sales Return A/C</t>
  </si>
  <si>
    <t xml:space="preserve">  To Manoj Stores A/C</t>
  </si>
  <si>
    <t>(Being Manoj Stores returned goods)</t>
  </si>
  <si>
    <t>10.03.2026</t>
  </si>
  <si>
    <t>Office Equipment A/C</t>
  </si>
  <si>
    <t xml:space="preserve">  To Bank A/C</t>
  </si>
  <si>
    <t>(Being Purchased office equipment by cheque)</t>
  </si>
  <si>
    <t>11.03.2026</t>
  </si>
  <si>
    <t>Salary A/C</t>
  </si>
  <si>
    <t>(Being Paid salary)</t>
  </si>
  <si>
    <t>12.03.2026</t>
  </si>
  <si>
    <t>Discount Allowed A/C</t>
  </si>
  <si>
    <t>(Being Received from Manoj Stores and allowed discount)</t>
  </si>
  <si>
    <t>13.03.2026</t>
  </si>
  <si>
    <t xml:space="preserve">  To Discount Received A/C</t>
  </si>
  <si>
    <t>(Being Paid Ravi Traders by cheque and received discount)</t>
  </si>
  <si>
    <t>14.03.2026</t>
  </si>
  <si>
    <t>Rent A/C</t>
  </si>
  <si>
    <t>(Being Paid office rent)</t>
  </si>
  <si>
    <t>15.03.2026</t>
  </si>
  <si>
    <t>(Being Purchased goods on credit from Siva Suppliers)</t>
  </si>
  <si>
    <t>16.03.2026</t>
  </si>
  <si>
    <t>(Being Sold goods on credit to Deepa Stores)</t>
  </si>
  <si>
    <t>17.03.2026</t>
  </si>
  <si>
    <t xml:space="preserve">  To Deepa Stores A/C</t>
  </si>
  <si>
    <t>(Being Received from Deepa Stores through bank)</t>
  </si>
  <si>
    <t>18.03.2026</t>
  </si>
  <si>
    <t>Electricity Charges A/C</t>
  </si>
  <si>
    <t>(Being Paid electricity charges)</t>
  </si>
  <si>
    <t>19.03.2026</t>
  </si>
  <si>
    <t xml:space="preserve">  To Commission Received A/C</t>
  </si>
  <si>
    <t>(Being Received commission in cash)</t>
  </si>
  <si>
    <t>20.03.2026</t>
  </si>
  <si>
    <t>(Being Withdrew cash from bank for office use)</t>
  </si>
  <si>
    <t>21.03.2026</t>
  </si>
  <si>
    <t>Drawings A/C</t>
  </si>
  <si>
    <t>(Being Drawings by proprietor in cash)</t>
  </si>
  <si>
    <t>22.03.2026</t>
  </si>
  <si>
    <t>Insurance Premium A/C</t>
  </si>
  <si>
    <t>(Being Paid insurance premium by cheque)</t>
  </si>
  <si>
    <t>23.03.2026</t>
  </si>
  <si>
    <t>Carriage Outwards A/C</t>
  </si>
  <si>
    <t>(Being Paid carriage outward)</t>
  </si>
  <si>
    <t>24.03.2026</t>
  </si>
  <si>
    <t xml:space="preserve">  To Interest Received A/C</t>
  </si>
  <si>
    <t>(Being Received interest from bank)</t>
  </si>
  <si>
    <t>25.03.2026</t>
  </si>
  <si>
    <t>26.03.2026</t>
  </si>
  <si>
    <t>Advertisement Expenses A/C</t>
  </si>
  <si>
    <t>(Being Paid advertisement expenses)</t>
  </si>
  <si>
    <t>27.03.2026</t>
  </si>
  <si>
    <t>Miscellaneous Expenses A/C</t>
  </si>
  <si>
    <t>(Being Paid miscellaneous expenses)</t>
  </si>
  <si>
    <t>28.03.2026</t>
  </si>
  <si>
    <t>(Being Purchased furniture for cash)</t>
  </si>
  <si>
    <t>29.03.2026</t>
  </si>
  <si>
    <t>Bank Loan Interest A/C</t>
  </si>
  <si>
    <t xml:space="preserve">   To Cash A/C</t>
  </si>
  <si>
    <t>(Being Paid bank loan interest)</t>
  </si>
  <si>
    <t>30.03.2026</t>
  </si>
  <si>
    <t>(Being Deposited additional cash into bank)</t>
  </si>
  <si>
    <t>In the Books of Ledger Account of Ms Bright Traders for the Month Ended 31st March 2026</t>
  </si>
  <si>
    <t>Capital Account</t>
  </si>
  <si>
    <t>Dr.                                                                                                                                                                                                                      Cr.</t>
  </si>
  <si>
    <t>J.F</t>
  </si>
  <si>
    <t>Amount ₹</t>
  </si>
  <si>
    <t>Particular</t>
  </si>
  <si>
    <t>To Ravi Traders A/C</t>
  </si>
  <si>
    <t>By Cash A/C</t>
  </si>
  <si>
    <t>To Siva Suppliers A/C</t>
  </si>
  <si>
    <t>By Bank A/C</t>
  </si>
  <si>
    <t>To Bank Loan A/C</t>
  </si>
  <si>
    <t>By Opening Stock A/C</t>
  </si>
  <si>
    <t>31.03.2026</t>
  </si>
  <si>
    <t>To Balance c/d</t>
  </si>
  <si>
    <t>By Furniture A/C</t>
  </si>
  <si>
    <t>By Machinery A/C</t>
  </si>
  <si>
    <t>By Computer A/C</t>
  </si>
  <si>
    <t>By Manoj Stores A/C</t>
  </si>
  <si>
    <t>By Deepa Stores A/C</t>
  </si>
  <si>
    <t>01.04.2026</t>
  </si>
  <si>
    <t>By Balance b/d</t>
  </si>
  <si>
    <t>Cash Account</t>
  </si>
  <si>
    <t>To Balance b/d</t>
  </si>
  <si>
    <t>By Purchased A/C</t>
  </si>
  <si>
    <t>To Sales A/C</t>
  </si>
  <si>
    <t>By Carriage Inwards A/C</t>
  </si>
  <si>
    <t>To Manoj Stores A/C</t>
  </si>
  <si>
    <t>By Wages A/C</t>
  </si>
  <si>
    <t>To Commission Received A/C</t>
  </si>
  <si>
    <t>By Salary A/C</t>
  </si>
  <si>
    <t>To Bank A/C</t>
  </si>
  <si>
    <t>By Rent A/C</t>
  </si>
  <si>
    <t>By Electricity Charges A/C</t>
  </si>
  <si>
    <t>By Drawings A/C</t>
  </si>
  <si>
    <t>By Carriage Outwards A/C</t>
  </si>
  <si>
    <t>By Advertisement Expenses A/C</t>
  </si>
  <si>
    <t>By Miscellaneous Expenses A/C</t>
  </si>
  <si>
    <t>By Bank Loan Interest A/C</t>
  </si>
  <si>
    <t>By Balance c/d</t>
  </si>
  <si>
    <t>Purchased Account</t>
  </si>
  <si>
    <t>To Cash A/C</t>
  </si>
  <si>
    <t>Ravi Traders Account</t>
  </si>
  <si>
    <t>To Purchase Return A/C</t>
  </si>
  <si>
    <t>To Discount Received A/C</t>
  </si>
  <si>
    <t>Manoj Stores Account</t>
  </si>
  <si>
    <t>By Sales Return A/C</t>
  </si>
  <si>
    <t>By Discount Allowed A/C</t>
  </si>
  <si>
    <t>Sales Account</t>
  </si>
  <si>
    <t>Carriage Inwards Account</t>
  </si>
  <si>
    <t>Wages Account</t>
  </si>
  <si>
    <t>Purchase Return Account</t>
  </si>
  <si>
    <t>By Ravi Traders A/C</t>
  </si>
  <si>
    <t>Sales Return Account</t>
  </si>
  <si>
    <t>Office Equipments Account</t>
  </si>
  <si>
    <t>Bank Account</t>
  </si>
  <si>
    <t>By Office Equipments A/C</t>
  </si>
  <si>
    <t>To Deepa Stores A/C</t>
  </si>
  <si>
    <t>To Interest Received A/C</t>
  </si>
  <si>
    <t>By Insurance Premium A/C</t>
  </si>
  <si>
    <t>Salary Account</t>
  </si>
  <si>
    <t>Discount Allowed Account</t>
  </si>
  <si>
    <t>To Manoj Traders A/C</t>
  </si>
  <si>
    <t>Discount Received Account</t>
  </si>
  <si>
    <t>Rent Account</t>
  </si>
  <si>
    <t>Siva Suppliers Account</t>
  </si>
  <si>
    <t>Deepa Stores Account</t>
  </si>
  <si>
    <t>Electricity Charges Account</t>
  </si>
  <si>
    <t>Commission Received Account</t>
  </si>
  <si>
    <t>Drawings Account</t>
  </si>
  <si>
    <t>Insurance Premium Account</t>
  </si>
  <si>
    <t>Carriage Outwards Account</t>
  </si>
  <si>
    <t>Interest Received Account</t>
  </si>
  <si>
    <t>Advertisement Expenses Account</t>
  </si>
  <si>
    <t>Miscellaneous Expenses Account</t>
  </si>
  <si>
    <t>Furniture Account</t>
  </si>
  <si>
    <t>Bank Loan Interest Account</t>
  </si>
  <si>
    <t>Trial Balance as on 31st March 2026</t>
  </si>
  <si>
    <t>SI.NO</t>
  </si>
  <si>
    <t xml:space="preserve">         -</t>
  </si>
  <si>
    <t>Purchases A/C</t>
  </si>
  <si>
    <t>Sales A/C</t>
  </si>
  <si>
    <t>Purchase Return A/C</t>
  </si>
  <si>
    <t>Office Equipments A/C</t>
  </si>
  <si>
    <t>Discount Received A/C</t>
  </si>
  <si>
    <t>Siva Suppliers A/C</t>
  </si>
  <si>
    <t>Commission Received A/C</t>
  </si>
  <si>
    <t>Capital A/C</t>
  </si>
  <si>
    <t>Interest Received A/C</t>
  </si>
  <si>
    <t>Bank Loan A/C</t>
  </si>
  <si>
    <t>Total</t>
  </si>
  <si>
    <t>Trading Account for the Month Ended 31st March 2026</t>
  </si>
  <si>
    <t>Dr.                                                                                                                                                                            Cr.</t>
  </si>
  <si>
    <t>To Opening Stock</t>
  </si>
  <si>
    <t>By Sales</t>
  </si>
  <si>
    <t>To Purchases A/C</t>
  </si>
  <si>
    <r>
      <rPr>
        <b/>
        <sz val="14"/>
        <color theme="1"/>
        <rFont val="Times New Roman"/>
      </rPr>
      <t>Less :</t>
    </r>
    <r>
      <rPr>
        <sz val="14"/>
        <color theme="1"/>
        <rFont val="Times New Roman"/>
      </rPr>
      <t xml:space="preserve"> Sales Return</t>
    </r>
  </si>
  <si>
    <r>
      <rPr>
        <b/>
        <sz val="14"/>
        <color theme="1"/>
        <rFont val="Times New Roman"/>
      </rPr>
      <t>Less :</t>
    </r>
    <r>
      <rPr>
        <sz val="14"/>
        <color theme="1"/>
        <rFont val="Times New Roman"/>
      </rPr>
      <t xml:space="preserve"> Purchase Return</t>
    </r>
  </si>
  <si>
    <t>By Closing Stock</t>
  </si>
  <si>
    <t>Direct Expenses :</t>
  </si>
  <si>
    <t>To Wages A/C</t>
  </si>
  <si>
    <t>To Carriage Inwards A/C</t>
  </si>
  <si>
    <t>To Gross Profit c/d</t>
  </si>
  <si>
    <t>Profit &amp; Loss Account for the Month Ended 31st March 2026</t>
  </si>
  <si>
    <t>Dr.                                                                                                                                                                                                                    Cr.</t>
  </si>
  <si>
    <t>To Salary A/C</t>
  </si>
  <si>
    <t>By Gross Profit b/d</t>
  </si>
  <si>
    <r>
      <rPr>
        <b/>
        <sz val="14"/>
        <color theme="1"/>
        <rFont val="Times New Roman"/>
      </rPr>
      <t>Add :</t>
    </r>
    <r>
      <rPr>
        <sz val="14"/>
        <color theme="1"/>
        <rFont val="Times New Roman"/>
      </rPr>
      <t xml:space="preserve"> Outstanding Salary</t>
    </r>
  </si>
  <si>
    <t>By Discount Received A/C</t>
  </si>
  <si>
    <t>To Discount Allowed A/C</t>
  </si>
  <si>
    <t>By Commission Received A/C</t>
  </si>
  <si>
    <t>To Rent A/C</t>
  </si>
  <si>
    <t>By Interest Received A/C</t>
  </si>
  <si>
    <t>To Electricity Charges A/C</t>
  </si>
  <si>
    <t>To Insurance Premium A/C</t>
  </si>
  <si>
    <r>
      <rPr>
        <b/>
        <sz val="14"/>
        <color theme="1"/>
        <rFont val="Times New Roman"/>
      </rPr>
      <t xml:space="preserve">Less : </t>
    </r>
    <r>
      <rPr>
        <sz val="14"/>
        <color theme="1"/>
        <rFont val="Times New Roman"/>
      </rPr>
      <t>Prepaid Insurance</t>
    </r>
  </si>
  <si>
    <t>To Carriage Outwards A/C</t>
  </si>
  <si>
    <t>To Advertisement Expenses A/C</t>
  </si>
  <si>
    <t>To Miscellaneous Expenses A/C</t>
  </si>
  <si>
    <t>To Bank Loan Interest A/C</t>
  </si>
  <si>
    <r>
      <rPr>
        <b/>
        <sz val="14"/>
        <color theme="1"/>
        <rFont val="Times New Roman"/>
      </rPr>
      <t>Add :</t>
    </r>
    <r>
      <rPr>
        <sz val="14"/>
        <color theme="1"/>
        <rFont val="Times New Roman"/>
      </rPr>
      <t xml:space="preserve"> Accrued Interest on Bank Loan</t>
    </r>
  </si>
  <si>
    <t>To Depreciation on Machinery</t>
  </si>
  <si>
    <t>To Depreciation on Furniture</t>
  </si>
  <si>
    <t>To Depreciation on Office Equipments</t>
  </si>
  <si>
    <t>To Depreciation on Computer</t>
  </si>
  <si>
    <t>To Net Profit (Transferred to Capital)</t>
  </si>
  <si>
    <t>Balance Sheet as on 31st March 2026</t>
  </si>
  <si>
    <t>Liabilities</t>
  </si>
  <si>
    <t>Assets</t>
  </si>
  <si>
    <t>Current Assets :</t>
  </si>
  <si>
    <r>
      <rPr>
        <b/>
        <sz val="14"/>
        <color theme="1"/>
        <rFont val="Times New Roman"/>
      </rPr>
      <t xml:space="preserve">Add : </t>
    </r>
    <r>
      <rPr>
        <sz val="14"/>
        <color theme="1"/>
        <rFont val="Times New Roman"/>
      </rPr>
      <t>Net Profit</t>
    </r>
  </si>
  <si>
    <t xml:space="preserve">Cash in Hand </t>
  </si>
  <si>
    <r>
      <rPr>
        <b/>
        <sz val="14"/>
        <color theme="1"/>
        <rFont val="Times New Roman"/>
      </rPr>
      <t>Less :</t>
    </r>
    <r>
      <rPr>
        <sz val="14"/>
        <color theme="1"/>
        <rFont val="Times New Roman"/>
      </rPr>
      <t xml:space="preserve"> Drawings</t>
    </r>
  </si>
  <si>
    <t>Manoj Stores</t>
  </si>
  <si>
    <t>Non - Current Liabilites :</t>
  </si>
  <si>
    <t>Deepa Stores</t>
  </si>
  <si>
    <t>Prepaid Insurance</t>
  </si>
  <si>
    <t>Current Liabilites :</t>
  </si>
  <si>
    <t>Closing Stock</t>
  </si>
  <si>
    <t>Ravi Traders</t>
  </si>
  <si>
    <t>Fixed Assets :</t>
  </si>
  <si>
    <t>Siva Suppliers</t>
  </si>
  <si>
    <t>Outstanding Salary</t>
  </si>
  <si>
    <r>
      <rPr>
        <b/>
        <sz val="14"/>
        <color theme="1"/>
        <rFont val="Times New Roman"/>
      </rPr>
      <t xml:space="preserve">Less : </t>
    </r>
    <r>
      <rPr>
        <sz val="14"/>
        <color theme="1"/>
        <rFont val="Times New Roman"/>
      </rPr>
      <t>Depreciation</t>
    </r>
  </si>
  <si>
    <t>Accrued Interest on Bank Loan</t>
  </si>
  <si>
    <t>Office Equipments</t>
  </si>
  <si>
    <t>Ratio Analysis</t>
  </si>
  <si>
    <t>Interpretation of results</t>
  </si>
  <si>
    <t>(Complete Ratio Analysis whichever is applicable)</t>
  </si>
  <si>
    <t>1. Current Ratio</t>
  </si>
  <si>
    <t>Ideal ratio is 2:1</t>
  </si>
  <si>
    <t>Current Assets</t>
  </si>
  <si>
    <t>Current Liabilities</t>
  </si>
  <si>
    <t>This indicates that the firm can easily meet its short-term obligations.</t>
  </si>
  <si>
    <t>Current Ratio</t>
  </si>
  <si>
    <t>A very high current ratio may mean that some current assets are not being used efficiently.</t>
  </si>
  <si>
    <t>2. Quick Ratio</t>
  </si>
  <si>
    <t>Ideal ratio is 1:1</t>
  </si>
  <si>
    <t>Quick Assets</t>
  </si>
  <si>
    <t>This indicates that the firm can comfortably meet its immediate liabilities.</t>
  </si>
  <si>
    <t>Quick Ratio</t>
  </si>
  <si>
    <t>A very high quick ratio may indicate that more liquid assets are being held than necessary.</t>
  </si>
  <si>
    <t>3. Cash Ratio</t>
  </si>
  <si>
    <t>Ideal ratio is 0.5:1</t>
  </si>
  <si>
    <t>Cash and Cash Equivalents</t>
  </si>
  <si>
    <t>Comfortably</t>
  </si>
  <si>
    <t>This indicates that the firm has enough cash to meet its immediate obligations.</t>
  </si>
  <si>
    <t>Cash Ratio</t>
  </si>
  <si>
    <t>A very high cash ratio may indicate that excess cash is not being used efficiently.</t>
  </si>
  <si>
    <t>4. Debt-to-Equity Ratio</t>
  </si>
  <si>
    <t>Total Debt</t>
  </si>
  <si>
    <t>Shareholders' Equity</t>
  </si>
  <si>
    <t>This indicates a very low level of financial leverage and a strong equity base.</t>
  </si>
  <si>
    <t>Debt-to-Equity Ratio</t>
  </si>
  <si>
    <t>This indicates a low dependence on debt and a strong equity base.</t>
  </si>
  <si>
    <t>5. Debt-to-Asset Ratio</t>
  </si>
  <si>
    <t>Ideal ratio is &lt; 50 %</t>
  </si>
  <si>
    <t>The firm finances 35% of its assets through debt.</t>
  </si>
  <si>
    <t>Total Assets</t>
  </si>
  <si>
    <t>Indicates strong financial stability and a low level of financial risk.</t>
  </si>
  <si>
    <t>Debt-to-Assets Ratio</t>
  </si>
  <si>
    <t>The company depends more on equity than debt, This indicates a lower level of debt financing.</t>
  </si>
  <si>
    <t>6. Asset Turnover Ratio</t>
  </si>
  <si>
    <t>Ideal ratio is &gt; 2 times</t>
  </si>
  <si>
    <t>Net Sales</t>
  </si>
  <si>
    <t>This indicates the business generates sales equal to 48% of its total assets.</t>
  </si>
  <si>
    <t>Assets Turnover Ratio</t>
  </si>
  <si>
    <t>The company is not using its assets efficiently to generate sales.</t>
  </si>
  <si>
    <t>7. Working Capital Turnover Ratio</t>
  </si>
  <si>
    <t>Ideal Ratio is &gt; 5 times.</t>
  </si>
  <si>
    <t>Working Capital</t>
  </si>
  <si>
    <t>This indicates the business generates sales equal to 174% of its working capital.</t>
  </si>
  <si>
    <t>Working Capital turnover Ratio</t>
  </si>
  <si>
    <t>Working capital is not being used effectively to increase sales.</t>
  </si>
  <si>
    <t>8.  Inventory Turnover Ratio</t>
  </si>
  <si>
    <t xml:space="preserve">Ideal ratio is &gt; 5times </t>
  </si>
  <si>
    <t>Cost of Goods sold</t>
  </si>
  <si>
    <t>Average inventory</t>
  </si>
  <si>
    <t>This indicates that inventory is moving relatively slowly.</t>
  </si>
  <si>
    <t>Inventory Turnover Ratio</t>
  </si>
  <si>
    <t>Slow inventory movement may increase storage costs and the risk of old stock.</t>
  </si>
  <si>
    <t>Current Assets / Current Liabilities</t>
  </si>
  <si>
    <t>Cash + Bank + Closing Stock + debtors + Prepaid Insurance</t>
  </si>
  <si>
    <t>The firm has ₹ 2.3 of current assets for every ₹1 of Current Liabilities.</t>
  </si>
  <si>
    <t>Creditors + Outstanding Expenses + Accrued Expenses</t>
  </si>
  <si>
    <t>3,49,500 / 1,51,000</t>
  </si>
  <si>
    <t>(Current Assets - Inventory - Prepaid Expenses) / Current Liabilities</t>
  </si>
  <si>
    <t>Current Assets - Inventory - Prepaid Expenses</t>
  </si>
  <si>
    <t>The firm has ₹ 1.6 of Liquid assets for every ₹ 1 of Current Liabilities.</t>
  </si>
  <si>
    <t>2,38,000 / 1,51,000</t>
  </si>
  <si>
    <t>(Cash + Cash Equivalents) / Current Liabilities</t>
  </si>
  <si>
    <t>The firm has ₹ 1.2 of cash and cash equivalents for every ₹1 of current liabilities.</t>
  </si>
  <si>
    <t xml:space="preserve">Cash + Bank </t>
  </si>
  <si>
    <t>1,79,000 / 1,51,000</t>
  </si>
  <si>
    <t>Total Debt / Shareholders' Equity</t>
  </si>
  <si>
    <t>Current Liabilities + Non - Current Liabilities</t>
  </si>
  <si>
    <t>The firm has ₹ 0.53 of debt for every ₹ 1 of shareholders equity.</t>
  </si>
  <si>
    <t xml:space="preserve">Capital + Net Profit </t>
  </si>
  <si>
    <t>2,51,000 / 4,70,729</t>
  </si>
  <si>
    <t>Total Debt / Total Assets</t>
  </si>
  <si>
    <t>The firm has ₹ 0.35 of debt for every ₹ 1 invested in total assets.</t>
  </si>
  <si>
    <t>Balance Sheet Tally</t>
  </si>
  <si>
    <t>2,51,000 / 7,21,729</t>
  </si>
  <si>
    <t>Net Sales / Total Assets</t>
  </si>
  <si>
    <t>Sales - Sales Return</t>
  </si>
  <si>
    <t>The firm generates only ₹ 0.48 of net sales for every ₹ 1 invested in total assets.</t>
  </si>
  <si>
    <t>3,45,000 / 7,21,729</t>
  </si>
  <si>
    <t>Net Sales / Working Capital</t>
  </si>
  <si>
    <t>The firm generates only ₹ 1.74 of net sales for every ₹ 1 of working capital.</t>
  </si>
  <si>
    <t>Current Assets - Current Liabilities</t>
  </si>
  <si>
    <t>3,45,000 / 1,98,500</t>
  </si>
  <si>
    <t>Cost of goods sold / Average Inventory</t>
  </si>
  <si>
    <t>Opening Stock + Purchases + Direct Expenses - Closing Stock</t>
  </si>
  <si>
    <t>The firm turns over its inventory ₹ 2.5 times during the Period. This indicates slow Inventory</t>
  </si>
  <si>
    <t>Opening Stock + Closing Stock / 2</t>
  </si>
  <si>
    <t>2,47,500 / 1,00,000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</si>
</sst>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4"/>
      <color theme="1"/>
      <name val="Times New Roman"/>
    </font>
    <font>
      <sz val="14"/>
      <color theme="1"/>
      <name val="Times New Roman"/>
    </font>
    <font>
      <sz val="11"/>
      <name val="Calibri"/>
    </font>
    <font>
      <sz val="11"/>
      <color theme="1"/>
      <name val="Calibri"/>
    </font>
    <font>
      <b/>
      <sz val="14"/>
      <color rgb="FF0C0C0C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112">
    <xf numFmtId="0" fontId="0" fillId="0" borderId="0" xfId="0"/>
    <xf numFmtId="3" fontId="0" fillId="0" borderId="0" xfId="0" applyNumberFormat="1"/>
    <xf numFmtId="0" fontId="1" fillId="0" borderId="0" xfId="1"/>
    <xf numFmtId="0" fontId="3" fillId="0" borderId="0" xfId="1" applyFont="1"/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3" fillId="0" borderId="7" xfId="1" applyFont="1" applyBorder="1"/>
    <xf numFmtId="0" fontId="3" fillId="0" borderId="8" xfId="1" applyFont="1" applyBorder="1"/>
    <xf numFmtId="3" fontId="3" fillId="0" borderId="8" xfId="1" applyNumberFormat="1" applyFont="1" applyBorder="1"/>
    <xf numFmtId="0" fontId="3" fillId="0" borderId="11" xfId="1" applyFont="1" applyBorder="1"/>
    <xf numFmtId="0" fontId="3" fillId="0" borderId="13" xfId="1" applyFont="1" applyBorder="1"/>
    <xf numFmtId="0" fontId="3" fillId="0" borderId="14" xfId="1" applyFont="1" applyBorder="1"/>
    <xf numFmtId="3" fontId="3" fillId="0" borderId="14" xfId="1" applyNumberFormat="1" applyFont="1" applyBorder="1"/>
    <xf numFmtId="0" fontId="3" fillId="0" borderId="15" xfId="1" applyFont="1" applyBorder="1"/>
    <xf numFmtId="0" fontId="3" fillId="0" borderId="14" xfId="1" applyFont="1" applyBorder="1" applyAlignment="1">
      <alignment horizontal="left"/>
    </xf>
    <xf numFmtId="3" fontId="3" fillId="0" borderId="15" xfId="1" applyNumberFormat="1" applyFont="1" applyBorder="1"/>
    <xf numFmtId="0" fontId="3" fillId="0" borderId="21" xfId="1" applyFont="1" applyBorder="1"/>
    <xf numFmtId="0" fontId="3" fillId="0" borderId="22" xfId="1" applyFont="1" applyBorder="1"/>
    <xf numFmtId="0" fontId="3" fillId="0" borderId="23" xfId="1" applyFont="1" applyBorder="1"/>
    <xf numFmtId="0" fontId="3" fillId="0" borderId="8" xfId="1" applyFont="1" applyBorder="1" applyAlignment="1">
      <alignment horizontal="left"/>
    </xf>
    <xf numFmtId="0" fontId="5" fillId="0" borderId="8" xfId="1" applyFont="1" applyBorder="1"/>
    <xf numFmtId="3" fontId="3" fillId="0" borderId="11" xfId="1" applyNumberFormat="1" applyFont="1" applyBorder="1"/>
    <xf numFmtId="0" fontId="5" fillId="0" borderId="13" xfId="1" applyFont="1" applyBorder="1"/>
    <xf numFmtId="0" fontId="5" fillId="0" borderId="14" xfId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3" fontId="3" fillId="0" borderId="23" xfId="1" applyNumberFormat="1" applyFont="1" applyBorder="1"/>
    <xf numFmtId="3" fontId="3" fillId="0" borderId="22" xfId="1" applyNumberFormat="1" applyFont="1" applyBorder="1"/>
    <xf numFmtId="0" fontId="5" fillId="0" borderId="15" xfId="1" applyFont="1" applyBorder="1"/>
    <xf numFmtId="0" fontId="2" fillId="0" borderId="3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3" fillId="0" borderId="9" xfId="1" applyFont="1" applyBorder="1" applyAlignment="1">
      <alignment horizontal="center"/>
    </xf>
    <xf numFmtId="0" fontId="3" fillId="0" borderId="10" xfId="1" applyFont="1" applyBorder="1"/>
    <xf numFmtId="3" fontId="3" fillId="0" borderId="12" xfId="1" applyNumberFormat="1" applyFont="1" applyBorder="1"/>
    <xf numFmtId="0" fontId="3" fillId="0" borderId="16" xfId="1" applyFont="1" applyBorder="1" applyAlignment="1">
      <alignment horizontal="center"/>
    </xf>
    <xf numFmtId="0" fontId="3" fillId="0" borderId="17" xfId="1" applyFont="1" applyBorder="1"/>
    <xf numFmtId="3" fontId="3" fillId="0" borderId="18" xfId="1" applyNumberFormat="1" applyFont="1" applyBorder="1"/>
    <xf numFmtId="0" fontId="3" fillId="0" borderId="18" xfId="1" applyFont="1" applyBorder="1"/>
    <xf numFmtId="3" fontId="3" fillId="0" borderId="17" xfId="1" applyNumberFormat="1" applyFont="1" applyBorder="1"/>
    <xf numFmtId="3" fontId="3" fillId="0" borderId="0" xfId="1" applyNumberFormat="1" applyFont="1"/>
    <xf numFmtId="0" fontId="3" fillId="0" borderId="19" xfId="1" applyFont="1" applyBorder="1" applyAlignment="1">
      <alignment horizontal="center"/>
    </xf>
    <xf numFmtId="0" fontId="3" fillId="0" borderId="24" xfId="1" applyFont="1" applyBorder="1"/>
    <xf numFmtId="0" fontId="3" fillId="0" borderId="25" xfId="1" applyFont="1" applyBorder="1"/>
    <xf numFmtId="3" fontId="3" fillId="0" borderId="24" xfId="1" applyNumberFormat="1" applyFont="1" applyBorder="1"/>
    <xf numFmtId="3" fontId="2" fillId="0" borderId="20" xfId="1" applyNumberFormat="1" applyFont="1" applyBorder="1"/>
    <xf numFmtId="3" fontId="2" fillId="0" borderId="28" xfId="1" applyNumberFormat="1" applyFont="1" applyBorder="1"/>
    <xf numFmtId="0" fontId="3" fillId="0" borderId="30" xfId="1" applyFont="1" applyBorder="1"/>
    <xf numFmtId="0" fontId="2" fillId="0" borderId="13" xfId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0" fontId="2" fillId="0" borderId="8" xfId="1" applyFont="1" applyBorder="1"/>
    <xf numFmtId="3" fontId="3" fillId="0" borderId="30" xfId="1" applyNumberFormat="1" applyFont="1" applyBorder="1"/>
    <xf numFmtId="0" fontId="2" fillId="0" borderId="14" xfId="1" applyFont="1" applyBorder="1"/>
    <xf numFmtId="0" fontId="2" fillId="0" borderId="0" xfId="1" applyFont="1" applyAlignment="1">
      <alignment horizontal="center"/>
    </xf>
    <xf numFmtId="0" fontId="1" fillId="0" borderId="0" xfId="1"/>
    <xf numFmtId="0" fontId="2" fillId="0" borderId="0" xfId="1" applyFont="1"/>
    <xf numFmtId="0" fontId="2" fillId="0" borderId="26" xfId="1" applyFont="1" applyBorder="1" applyAlignment="1">
      <alignment horizontal="center"/>
    </xf>
    <xf numFmtId="0" fontId="4" fillId="0" borderId="27" xfId="1" applyFont="1" applyBorder="1"/>
    <xf numFmtId="0" fontId="2" fillId="0" borderId="29" xfId="1" applyFont="1" applyBorder="1" applyAlignment="1">
      <alignment horizontal="center"/>
    </xf>
    <xf numFmtId="0" fontId="4" fillId="0" borderId="29" xfId="1" applyFont="1" applyBorder="1"/>
    <xf numFmtId="0" fontId="0" fillId="0" borderId="0" xfId="0"/>
    <xf numFmtId="0" fontId="2" fillId="2" borderId="3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31" xfId="0" applyFont="1" applyBorder="1"/>
    <xf numFmtId="0" fontId="2" fillId="2" borderId="4" xfId="0" applyFont="1" applyFill="1" applyBorder="1" applyAlignment="1">
      <alignment horizontal="center" vertical="center" wrapText="1"/>
    </xf>
    <xf numFmtId="0" fontId="3" fillId="0" borderId="0" xfId="0" applyFont="1"/>
    <xf numFmtId="0" fontId="6" fillId="2" borderId="26" xfId="0" applyFont="1" applyFill="1" applyBorder="1" applyAlignment="1">
      <alignment horizontal="center" wrapText="1"/>
    </xf>
    <xf numFmtId="0" fontId="4" fillId="0" borderId="29" xfId="0" applyFont="1" applyBorder="1"/>
    <xf numFmtId="0" fontId="4" fillId="0" borderId="28" xfId="0" applyFont="1" applyBorder="1"/>
    <xf numFmtId="0" fontId="4" fillId="0" borderId="20" xfId="0" applyFont="1" applyBorder="1"/>
    <xf numFmtId="0" fontId="2" fillId="3" borderId="4" xfId="0" applyFont="1" applyFill="1" applyBorder="1" applyAlignment="1">
      <alignment wrapText="1"/>
    </xf>
    <xf numFmtId="0" fontId="2" fillId="3" borderId="3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wrapText="1"/>
    </xf>
    <xf numFmtId="0" fontId="3" fillId="4" borderId="32" xfId="0" applyFont="1" applyFill="1" applyBorder="1" applyAlignment="1">
      <alignment wrapText="1"/>
    </xf>
    <xf numFmtId="0" fontId="3" fillId="4" borderId="32" xfId="0" applyFont="1" applyFill="1" applyBorder="1" applyAlignment="1">
      <alignment horizontal="right" wrapText="1"/>
    </xf>
    <xf numFmtId="0" fontId="3" fillId="4" borderId="32" xfId="0" applyFont="1" applyFill="1" applyBorder="1" applyAlignment="1">
      <alignment horizontal="center" wrapText="1"/>
    </xf>
    <xf numFmtId="3" fontId="3" fillId="4" borderId="32" xfId="0" applyNumberFormat="1" applyFont="1" applyFill="1" applyBorder="1" applyAlignment="1">
      <alignment horizontal="right" wrapText="1"/>
    </xf>
    <xf numFmtId="0" fontId="3" fillId="4" borderId="32" xfId="0" applyFont="1" applyFill="1" applyBorder="1"/>
    <xf numFmtId="0" fontId="3" fillId="4" borderId="20" xfId="0" applyFont="1" applyFill="1" applyBorder="1" applyAlignment="1">
      <alignment horizontal="right" wrapText="1"/>
    </xf>
    <xf numFmtId="0" fontId="3" fillId="4" borderId="20" xfId="0" applyFont="1" applyFill="1" applyBorder="1" applyAlignment="1">
      <alignment horizontal="center" wrapText="1"/>
    </xf>
    <xf numFmtId="168" fontId="2" fillId="4" borderId="20" xfId="0" applyNumberFormat="1" applyFont="1" applyFill="1" applyBorder="1" applyAlignment="1">
      <alignment horizontal="right" wrapText="1"/>
    </xf>
    <xf numFmtId="0" fontId="3" fillId="4" borderId="20" xfId="0" applyFont="1" applyFill="1" applyBorder="1"/>
    <xf numFmtId="0" fontId="2" fillId="3" borderId="3" xfId="0" applyFont="1" applyFill="1" applyBorder="1" applyAlignment="1">
      <alignment horizontal="center" vertical="center"/>
    </xf>
    <xf numFmtId="0" fontId="3" fillId="4" borderId="33" xfId="0" applyFont="1" applyFill="1" applyBorder="1" applyAlignment="1">
      <alignment wrapText="1"/>
    </xf>
    <xf numFmtId="0" fontId="3" fillId="4" borderId="33" xfId="0" applyFont="1" applyFill="1" applyBorder="1" applyAlignment="1">
      <alignment horizontal="center" wrapText="1"/>
    </xf>
    <xf numFmtId="3" fontId="3" fillId="4" borderId="33" xfId="0" applyNumberFormat="1" applyFont="1" applyFill="1" applyBorder="1" applyAlignment="1">
      <alignment horizontal="right" wrapText="1"/>
    </xf>
    <xf numFmtId="0" fontId="3" fillId="4" borderId="28" xfId="0" applyFont="1" applyFill="1" applyBorder="1" applyAlignment="1">
      <alignment horizontal="center" wrapText="1"/>
    </xf>
    <xf numFmtId="168" fontId="2" fillId="4" borderId="28" xfId="0" applyNumberFormat="1" applyFont="1" applyFill="1" applyBorder="1" applyAlignment="1">
      <alignment horizontal="right" wrapText="1"/>
    </xf>
    <xf numFmtId="0" fontId="3" fillId="4" borderId="20" xfId="0" applyFont="1" applyFill="1" applyBorder="1" applyAlignment="1">
      <alignment wrapText="1"/>
    </xf>
    <xf numFmtId="0" fontId="3" fillId="4" borderId="34" xfId="0" applyFont="1" applyFill="1" applyBorder="1" applyAlignment="1">
      <alignment wrapText="1"/>
    </xf>
    <xf numFmtId="0" fontId="3" fillId="4" borderId="32" xfId="0" applyFont="1" applyFill="1" applyBorder="1" applyAlignment="1">
      <alignment vertical="center"/>
    </xf>
    <xf numFmtId="0" fontId="3" fillId="4" borderId="34" xfId="0" applyFont="1" applyFill="1" applyBorder="1" applyAlignment="1">
      <alignment horizontal="center" wrapText="1"/>
    </xf>
    <xf numFmtId="3" fontId="3" fillId="4" borderId="34" xfId="0" applyNumberFormat="1" applyFont="1" applyFill="1" applyBorder="1" applyAlignment="1">
      <alignment horizontal="right" wrapText="1"/>
    </xf>
    <xf numFmtId="0" fontId="3" fillId="4" borderId="26" xfId="0" applyFont="1" applyFill="1" applyBorder="1" applyAlignment="1">
      <alignment horizontal="center" wrapText="1"/>
    </xf>
    <xf numFmtId="168" fontId="2" fillId="4" borderId="26" xfId="0" applyNumberFormat="1" applyFont="1" applyFill="1" applyBorder="1" applyAlignment="1">
      <alignment horizontal="right" wrapText="1"/>
    </xf>
    <xf numFmtId="0" fontId="2" fillId="3" borderId="32" xfId="0" applyFont="1" applyFill="1" applyBorder="1" applyAlignment="1">
      <alignment wrapText="1"/>
    </xf>
    <xf numFmtId="2" fontId="2" fillId="4" borderId="20" xfId="0" applyNumberFormat="1" applyFont="1" applyFill="1" applyBorder="1" applyAlignment="1">
      <alignment horizontal="right" wrapText="1"/>
    </xf>
    <xf numFmtId="2" fontId="2" fillId="4" borderId="32" xfId="0" applyNumberFormat="1" applyFont="1" applyFill="1" applyBorder="1" applyAlignment="1">
      <alignment horizontal="right" wrapText="1"/>
    </xf>
    <xf numFmtId="0" fontId="2" fillId="3" borderId="4" xfId="0" applyFont="1" applyFill="1" applyBorder="1"/>
    <xf numFmtId="0" fontId="2" fillId="3" borderId="3" xfId="0" applyFont="1" applyFill="1" applyBorder="1" applyAlignment="1">
      <alignment horizontal="center"/>
    </xf>
    <xf numFmtId="0" fontId="3" fillId="4" borderId="31" xfId="0" applyFont="1" applyFill="1" applyBorder="1"/>
    <xf numFmtId="0" fontId="3" fillId="4" borderId="33" xfId="0" applyFont="1" applyFill="1" applyBorder="1"/>
    <xf numFmtId="0" fontId="3" fillId="4" borderId="32" xfId="0" applyFont="1" applyFill="1" applyBorder="1" applyAlignment="1">
      <alignment horizontal="right"/>
    </xf>
    <xf numFmtId="0" fontId="3" fillId="4" borderId="32" xfId="0" applyFont="1" applyFill="1" applyBorder="1" applyAlignment="1">
      <alignment horizontal="center"/>
    </xf>
    <xf numFmtId="3" fontId="3" fillId="4" borderId="32" xfId="0" applyNumberFormat="1" applyFont="1" applyFill="1" applyBorder="1"/>
    <xf numFmtId="0" fontId="3" fillId="4" borderId="35" xfId="0" applyFont="1" applyFill="1" applyBorder="1"/>
    <xf numFmtId="0" fontId="3" fillId="4" borderId="20" xfId="0" applyFont="1" applyFill="1" applyBorder="1" applyAlignment="1">
      <alignment horizontal="right"/>
    </xf>
    <xf numFmtId="0" fontId="3" fillId="4" borderId="20" xfId="0" applyFont="1" applyFill="1" applyBorder="1" applyAlignment="1">
      <alignment horizontal="center"/>
    </xf>
    <xf numFmtId="168" fontId="2" fillId="4" borderId="20" xfId="0" applyNumberFormat="1" applyFont="1" applyFill="1" applyBorder="1"/>
    <xf numFmtId="0" fontId="3" fillId="4" borderId="28" xfId="0" applyFont="1" applyFill="1" applyBorder="1"/>
  </cellXfs>
  <cellStyles count="2">
    <cellStyle name="Normal" xfId="0" builtinId="0"/>
    <cellStyle name="Normal 2" xfId="1" xr:uid="{0CA60B7E-08EF-474D-B9CF-40E330A50F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EE08F-5AE9-4265-8537-B2D53167030E}">
  <dimension ref="A1:B67"/>
  <sheetViews>
    <sheetView workbookViewId="0">
      <selection activeCell="I63" sqref="I63"/>
    </sheetView>
  </sheetViews>
  <sheetFormatPr defaultRowHeight="14.4" x14ac:dyDescent="0.3"/>
  <cols>
    <col min="1" max="1" width="34.21875" customWidth="1"/>
  </cols>
  <sheetData>
    <row r="1" spans="1:2" x14ac:dyDescent="0.3">
      <c r="A1" t="s">
        <v>0</v>
      </c>
    </row>
    <row r="3" spans="1:2" x14ac:dyDescent="0.3">
      <c r="A3" t="s">
        <v>1</v>
      </c>
    </row>
    <row r="5" spans="1:2" x14ac:dyDescent="0.3">
      <c r="A5" t="s">
        <v>2</v>
      </c>
    </row>
    <row r="6" spans="1:2" x14ac:dyDescent="0.3">
      <c r="A6" t="s">
        <v>3</v>
      </c>
    </row>
    <row r="7" spans="1:2" x14ac:dyDescent="0.3">
      <c r="A7" t="s">
        <v>4</v>
      </c>
    </row>
    <row r="8" spans="1:2" x14ac:dyDescent="0.3">
      <c r="A8" t="s">
        <v>5</v>
      </c>
    </row>
    <row r="9" spans="1:2" x14ac:dyDescent="0.3">
      <c r="A9" t="s">
        <v>6</v>
      </c>
    </row>
    <row r="10" spans="1:2" x14ac:dyDescent="0.3">
      <c r="A10" t="s">
        <v>7</v>
      </c>
    </row>
    <row r="12" spans="1:2" x14ac:dyDescent="0.3">
      <c r="A12" t="s">
        <v>8</v>
      </c>
    </row>
    <row r="13" spans="1:2" x14ac:dyDescent="0.3">
      <c r="A13" t="s">
        <v>9</v>
      </c>
      <c r="B13" t="s">
        <v>10</v>
      </c>
    </row>
    <row r="14" spans="1:2" x14ac:dyDescent="0.3">
      <c r="A14" t="s">
        <v>11</v>
      </c>
      <c r="B14" s="1">
        <v>45000</v>
      </c>
    </row>
    <row r="15" spans="1:2" x14ac:dyDescent="0.3">
      <c r="A15" t="s">
        <v>12</v>
      </c>
      <c r="B15" s="1">
        <v>120000</v>
      </c>
    </row>
    <row r="16" spans="1:2" x14ac:dyDescent="0.3">
      <c r="A16" t="s">
        <v>13</v>
      </c>
      <c r="B16" s="1">
        <v>90000</v>
      </c>
    </row>
    <row r="17" spans="1:2" x14ac:dyDescent="0.3">
      <c r="A17" t="s">
        <v>14</v>
      </c>
      <c r="B17" s="1">
        <v>60000</v>
      </c>
    </row>
    <row r="18" spans="1:2" x14ac:dyDescent="0.3">
      <c r="A18" t="s">
        <v>15</v>
      </c>
      <c r="B18" s="1">
        <v>200000</v>
      </c>
    </row>
    <row r="19" spans="1:2" x14ac:dyDescent="0.3">
      <c r="A19" t="s">
        <v>16</v>
      </c>
      <c r="B19" s="1">
        <v>40000</v>
      </c>
    </row>
    <row r="20" spans="1:2" x14ac:dyDescent="0.3">
      <c r="A20" t="s">
        <v>17</v>
      </c>
      <c r="B20" s="1">
        <v>70000</v>
      </c>
    </row>
    <row r="21" spans="1:2" x14ac:dyDescent="0.3">
      <c r="A21" t="s">
        <v>18</v>
      </c>
      <c r="B21" s="1">
        <v>45000</v>
      </c>
    </row>
    <row r="22" spans="1:2" x14ac:dyDescent="0.3">
      <c r="A22" t="s">
        <v>19</v>
      </c>
      <c r="B22" s="1">
        <v>80000</v>
      </c>
    </row>
    <row r="23" spans="1:2" x14ac:dyDescent="0.3">
      <c r="A23" t="s">
        <v>20</v>
      </c>
      <c r="B23" s="1">
        <v>40000</v>
      </c>
    </row>
    <row r="24" spans="1:2" x14ac:dyDescent="0.3">
      <c r="A24" t="s">
        <v>21</v>
      </c>
      <c r="B24" s="1">
        <v>450000</v>
      </c>
    </row>
    <row r="25" spans="1:2" x14ac:dyDescent="0.3">
      <c r="A25" t="s">
        <v>22</v>
      </c>
      <c r="B25" s="1">
        <v>100000</v>
      </c>
    </row>
    <row r="27" spans="1:2" x14ac:dyDescent="0.3">
      <c r="A27" t="s">
        <v>23</v>
      </c>
    </row>
    <row r="28" spans="1:2" x14ac:dyDescent="0.3">
      <c r="A28" t="s">
        <v>24</v>
      </c>
      <c r="B28" t="s">
        <v>25</v>
      </c>
    </row>
    <row r="29" spans="1:2" x14ac:dyDescent="0.3">
      <c r="A29" t="s">
        <v>26</v>
      </c>
      <c r="B29" t="s">
        <v>27</v>
      </c>
    </row>
    <row r="30" spans="1:2" x14ac:dyDescent="0.3">
      <c r="A30" t="s">
        <v>28</v>
      </c>
      <c r="B30" t="s">
        <v>29</v>
      </c>
    </row>
    <row r="31" spans="1:2" x14ac:dyDescent="0.3">
      <c r="A31" t="s">
        <v>30</v>
      </c>
      <c r="B31" t="s">
        <v>31</v>
      </c>
    </row>
    <row r="32" spans="1:2" x14ac:dyDescent="0.3">
      <c r="A32" t="s">
        <v>32</v>
      </c>
      <c r="B32" t="s">
        <v>33</v>
      </c>
    </row>
    <row r="33" spans="1:2" x14ac:dyDescent="0.3">
      <c r="A33" t="s">
        <v>34</v>
      </c>
      <c r="B33" t="s">
        <v>35</v>
      </c>
    </row>
    <row r="34" spans="1:2" x14ac:dyDescent="0.3">
      <c r="A34" t="s">
        <v>36</v>
      </c>
      <c r="B34" t="s">
        <v>37</v>
      </c>
    </row>
    <row r="35" spans="1:2" x14ac:dyDescent="0.3">
      <c r="A35" t="s">
        <v>38</v>
      </c>
      <c r="B35" t="s">
        <v>39</v>
      </c>
    </row>
    <row r="36" spans="1:2" x14ac:dyDescent="0.3">
      <c r="A36" t="s">
        <v>40</v>
      </c>
      <c r="B36" t="s">
        <v>41</v>
      </c>
    </row>
    <row r="37" spans="1:2" x14ac:dyDescent="0.3">
      <c r="A37" t="s">
        <v>42</v>
      </c>
      <c r="B37" t="s">
        <v>43</v>
      </c>
    </row>
    <row r="38" spans="1:2" x14ac:dyDescent="0.3">
      <c r="A38" t="s">
        <v>44</v>
      </c>
      <c r="B38" t="s">
        <v>45</v>
      </c>
    </row>
    <row r="39" spans="1:2" x14ac:dyDescent="0.3">
      <c r="A39" t="s">
        <v>46</v>
      </c>
      <c r="B39" t="s">
        <v>47</v>
      </c>
    </row>
    <row r="40" spans="1:2" x14ac:dyDescent="0.3">
      <c r="A40" t="s">
        <v>48</v>
      </c>
      <c r="B40" t="s">
        <v>49</v>
      </c>
    </row>
    <row r="41" spans="1:2" x14ac:dyDescent="0.3">
      <c r="A41" t="s">
        <v>50</v>
      </c>
      <c r="B41" t="s">
        <v>51</v>
      </c>
    </row>
    <row r="42" spans="1:2" x14ac:dyDescent="0.3">
      <c r="A42" t="s">
        <v>52</v>
      </c>
      <c r="B42" t="s">
        <v>53</v>
      </c>
    </row>
    <row r="43" spans="1:2" x14ac:dyDescent="0.3">
      <c r="A43" t="s">
        <v>54</v>
      </c>
      <c r="B43" t="s">
        <v>55</v>
      </c>
    </row>
    <row r="44" spans="1:2" x14ac:dyDescent="0.3">
      <c r="A44" t="s">
        <v>56</v>
      </c>
      <c r="B44" t="s">
        <v>57</v>
      </c>
    </row>
    <row r="45" spans="1:2" x14ac:dyDescent="0.3">
      <c r="A45" t="s">
        <v>58</v>
      </c>
      <c r="B45" t="s">
        <v>59</v>
      </c>
    </row>
    <row r="46" spans="1:2" x14ac:dyDescent="0.3">
      <c r="A46" t="s">
        <v>60</v>
      </c>
      <c r="B46" t="s">
        <v>61</v>
      </c>
    </row>
    <row r="47" spans="1:2" x14ac:dyDescent="0.3">
      <c r="A47" t="s">
        <v>62</v>
      </c>
      <c r="B47" t="s">
        <v>63</v>
      </c>
    </row>
    <row r="48" spans="1:2" x14ac:dyDescent="0.3">
      <c r="A48" t="s">
        <v>64</v>
      </c>
      <c r="B48" t="s">
        <v>65</v>
      </c>
    </row>
    <row r="49" spans="1:2" x14ac:dyDescent="0.3">
      <c r="A49" t="s">
        <v>66</v>
      </c>
      <c r="B49" t="s">
        <v>67</v>
      </c>
    </row>
    <row r="50" spans="1:2" x14ac:dyDescent="0.3">
      <c r="A50" t="s">
        <v>68</v>
      </c>
      <c r="B50" t="s">
        <v>69</v>
      </c>
    </row>
    <row r="51" spans="1:2" x14ac:dyDescent="0.3">
      <c r="A51" t="s">
        <v>70</v>
      </c>
      <c r="B51" t="s">
        <v>71</v>
      </c>
    </row>
    <row r="52" spans="1:2" x14ac:dyDescent="0.3">
      <c r="A52" t="s">
        <v>72</v>
      </c>
      <c r="B52" t="s">
        <v>73</v>
      </c>
    </row>
    <row r="53" spans="1:2" x14ac:dyDescent="0.3">
      <c r="A53" t="s">
        <v>74</v>
      </c>
      <c r="B53" t="s">
        <v>75</v>
      </c>
    </row>
    <row r="54" spans="1:2" x14ac:dyDescent="0.3">
      <c r="A54" t="s">
        <v>76</v>
      </c>
      <c r="B54" t="s">
        <v>77</v>
      </c>
    </row>
    <row r="55" spans="1:2" x14ac:dyDescent="0.3">
      <c r="A55" t="s">
        <v>78</v>
      </c>
      <c r="B55" t="s">
        <v>79</v>
      </c>
    </row>
    <row r="56" spans="1:2" x14ac:dyDescent="0.3">
      <c r="A56" t="s">
        <v>80</v>
      </c>
      <c r="B56" t="s">
        <v>81</v>
      </c>
    </row>
    <row r="57" spans="1:2" x14ac:dyDescent="0.3">
      <c r="A57" t="s">
        <v>82</v>
      </c>
      <c r="B57" t="s">
        <v>83</v>
      </c>
    </row>
    <row r="59" spans="1:2" x14ac:dyDescent="0.3">
      <c r="A59" t="s">
        <v>84</v>
      </c>
    </row>
    <row r="60" spans="1:2" x14ac:dyDescent="0.3">
      <c r="A60" t="s">
        <v>85</v>
      </c>
    </row>
    <row r="61" spans="1:2" x14ac:dyDescent="0.3">
      <c r="A61" t="s">
        <v>86</v>
      </c>
    </row>
    <row r="62" spans="1:2" x14ac:dyDescent="0.3">
      <c r="A62" t="s">
        <v>87</v>
      </c>
    </row>
    <row r="63" spans="1:2" x14ac:dyDescent="0.3">
      <c r="A63" t="s">
        <v>88</v>
      </c>
    </row>
    <row r="64" spans="1:2" x14ac:dyDescent="0.3">
      <c r="A64" t="s">
        <v>89</v>
      </c>
    </row>
    <row r="65" spans="1:1" x14ac:dyDescent="0.3">
      <c r="A65" t="s">
        <v>90</v>
      </c>
    </row>
    <row r="66" spans="1:1" x14ac:dyDescent="0.3">
      <c r="A66" t="s">
        <v>91</v>
      </c>
    </row>
    <row r="67" spans="1:1" x14ac:dyDescent="0.3">
      <c r="A67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E2563-CB11-4CC6-8CDF-32F6357F7240}">
  <dimension ref="A1:Z320"/>
  <sheetViews>
    <sheetView workbookViewId="0">
      <selection activeCell="B60" sqref="B60"/>
    </sheetView>
  </sheetViews>
  <sheetFormatPr defaultRowHeight="14.4" x14ac:dyDescent="0.3"/>
  <cols>
    <col min="1" max="1" width="16.6640625" customWidth="1"/>
    <col min="2" max="2" width="65.44140625" customWidth="1"/>
    <col min="5" max="5" width="14.33203125" customWidth="1"/>
    <col min="6" max="6" width="16.109375" customWidth="1"/>
  </cols>
  <sheetData>
    <row r="1" spans="1:26" ht="18" x14ac:dyDescent="0.35">
      <c r="A1" s="55" t="s">
        <v>93</v>
      </c>
      <c r="B1" s="56"/>
      <c r="C1" s="56"/>
      <c r="D1" s="56"/>
      <c r="E1" s="56"/>
      <c r="F1" s="56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8.600000000000001" thickBot="1" x14ac:dyDescent="0.4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8.600000000000001" thickBot="1" x14ac:dyDescent="0.4">
      <c r="A3" s="4" t="s">
        <v>24</v>
      </c>
      <c r="B3" s="5" t="s">
        <v>9</v>
      </c>
      <c r="C3" s="5"/>
      <c r="D3" s="5" t="s">
        <v>94</v>
      </c>
      <c r="E3" s="5" t="s">
        <v>95</v>
      </c>
      <c r="F3" s="6" t="s">
        <v>96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" x14ac:dyDescent="0.35">
      <c r="A4" s="7" t="s">
        <v>97</v>
      </c>
      <c r="B4" s="8" t="s">
        <v>98</v>
      </c>
      <c r="C4" s="8" t="s">
        <v>99</v>
      </c>
      <c r="D4" s="8"/>
      <c r="E4" s="9">
        <v>45000</v>
      </c>
      <c r="F4" s="10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" x14ac:dyDescent="0.35">
      <c r="A5" s="11"/>
      <c r="B5" s="12" t="s">
        <v>100</v>
      </c>
      <c r="C5" s="12" t="s">
        <v>99</v>
      </c>
      <c r="D5" s="12"/>
      <c r="E5" s="13">
        <v>120000</v>
      </c>
      <c r="F5" s="14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8" x14ac:dyDescent="0.35">
      <c r="A6" s="11"/>
      <c r="B6" s="12" t="s">
        <v>101</v>
      </c>
      <c r="C6" s="12" t="s">
        <v>99</v>
      </c>
      <c r="D6" s="12"/>
      <c r="E6" s="13">
        <v>90000</v>
      </c>
      <c r="F6" s="1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" x14ac:dyDescent="0.35">
      <c r="A7" s="11"/>
      <c r="B7" s="12" t="s">
        <v>102</v>
      </c>
      <c r="C7" s="12" t="s">
        <v>99</v>
      </c>
      <c r="D7" s="12"/>
      <c r="E7" s="13">
        <v>60000</v>
      </c>
      <c r="F7" s="1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8" x14ac:dyDescent="0.35">
      <c r="A8" s="11"/>
      <c r="B8" s="12" t="s">
        <v>103</v>
      </c>
      <c r="C8" s="12" t="s">
        <v>99</v>
      </c>
      <c r="D8" s="12"/>
      <c r="E8" s="13">
        <v>200000</v>
      </c>
      <c r="F8" s="1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8" x14ac:dyDescent="0.35">
      <c r="A9" s="11"/>
      <c r="B9" s="12" t="s">
        <v>104</v>
      </c>
      <c r="C9" s="12" t="s">
        <v>99</v>
      </c>
      <c r="D9" s="12"/>
      <c r="E9" s="13">
        <v>40000</v>
      </c>
      <c r="F9" s="1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8" x14ac:dyDescent="0.35">
      <c r="A10" s="11"/>
      <c r="B10" s="12" t="s">
        <v>105</v>
      </c>
      <c r="C10" s="12" t="s">
        <v>99</v>
      </c>
      <c r="D10" s="12"/>
      <c r="E10" s="13">
        <v>70000</v>
      </c>
      <c r="F10" s="1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8" x14ac:dyDescent="0.35">
      <c r="A11" s="11"/>
      <c r="B11" s="12" t="s">
        <v>106</v>
      </c>
      <c r="C11" s="12" t="s">
        <v>99</v>
      </c>
      <c r="D11" s="12"/>
      <c r="E11" s="13">
        <v>45000</v>
      </c>
      <c r="F11" s="1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8" x14ac:dyDescent="0.35">
      <c r="A12" s="11"/>
      <c r="B12" s="12" t="s">
        <v>107</v>
      </c>
      <c r="C12" s="12"/>
      <c r="D12" s="12"/>
      <c r="E12" s="12"/>
      <c r="F12" s="16">
        <v>80000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8" x14ac:dyDescent="0.35">
      <c r="A13" s="11"/>
      <c r="B13" s="12" t="s">
        <v>108</v>
      </c>
      <c r="C13" s="12"/>
      <c r="D13" s="12"/>
      <c r="E13" s="12"/>
      <c r="F13" s="16">
        <v>40000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8" x14ac:dyDescent="0.35">
      <c r="A14" s="11"/>
      <c r="B14" s="12" t="s">
        <v>109</v>
      </c>
      <c r="C14" s="12"/>
      <c r="D14" s="12"/>
      <c r="E14" s="12"/>
      <c r="F14" s="16">
        <v>100000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8" x14ac:dyDescent="0.35">
      <c r="A15" s="11"/>
      <c r="B15" s="12" t="s">
        <v>110</v>
      </c>
      <c r="C15" s="12"/>
      <c r="D15" s="12"/>
      <c r="E15" s="12"/>
      <c r="F15" s="16">
        <v>450000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8" x14ac:dyDescent="0.35">
      <c r="A16" s="11"/>
      <c r="B16" s="15" t="s">
        <v>111</v>
      </c>
      <c r="C16" s="12"/>
      <c r="D16" s="12"/>
      <c r="E16" s="12"/>
      <c r="F16" s="1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8" x14ac:dyDescent="0.35">
      <c r="A17" s="11" t="s">
        <v>112</v>
      </c>
      <c r="B17" s="12" t="s">
        <v>113</v>
      </c>
      <c r="C17" s="12" t="s">
        <v>99</v>
      </c>
      <c r="D17" s="12"/>
      <c r="E17" s="13">
        <v>110000</v>
      </c>
      <c r="F17" s="1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8" x14ac:dyDescent="0.35">
      <c r="A18" s="11"/>
      <c r="B18" s="12" t="s">
        <v>107</v>
      </c>
      <c r="C18" s="12"/>
      <c r="D18" s="12"/>
      <c r="E18" s="12"/>
      <c r="F18" s="16">
        <v>110000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8" x14ac:dyDescent="0.35">
      <c r="A19" s="11"/>
      <c r="B19" s="12" t="s">
        <v>114</v>
      </c>
      <c r="C19" s="12"/>
      <c r="D19" s="12"/>
      <c r="E19" s="12"/>
      <c r="F19" s="1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8" x14ac:dyDescent="0.35">
      <c r="A20" s="11" t="s">
        <v>115</v>
      </c>
      <c r="B20" s="12" t="s">
        <v>113</v>
      </c>
      <c r="C20" s="12" t="s">
        <v>99</v>
      </c>
      <c r="D20" s="12"/>
      <c r="E20" s="13">
        <v>35000</v>
      </c>
      <c r="F20" s="1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8" x14ac:dyDescent="0.35">
      <c r="A21" s="11"/>
      <c r="B21" s="12" t="s">
        <v>116</v>
      </c>
      <c r="C21" s="12"/>
      <c r="D21" s="12"/>
      <c r="E21" s="12"/>
      <c r="F21" s="16">
        <v>35000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8" x14ac:dyDescent="0.35">
      <c r="A22" s="11"/>
      <c r="B22" s="12" t="s">
        <v>117</v>
      </c>
      <c r="C22" s="12"/>
      <c r="D22" s="12"/>
      <c r="E22" s="12"/>
      <c r="F22" s="1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8" x14ac:dyDescent="0.35">
      <c r="A23" s="11" t="s">
        <v>118</v>
      </c>
      <c r="B23" s="12" t="s">
        <v>105</v>
      </c>
      <c r="C23" s="12" t="s">
        <v>99</v>
      </c>
      <c r="D23" s="12"/>
      <c r="E23" s="13">
        <v>160000</v>
      </c>
      <c r="F23" s="1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8" x14ac:dyDescent="0.35">
      <c r="A24" s="11"/>
      <c r="B24" s="12" t="s">
        <v>119</v>
      </c>
      <c r="C24" s="12"/>
      <c r="D24" s="12"/>
      <c r="E24" s="12"/>
      <c r="F24" s="16">
        <v>160000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8" x14ac:dyDescent="0.35">
      <c r="A25" s="11"/>
      <c r="B25" s="12" t="s">
        <v>120</v>
      </c>
      <c r="C25" s="12"/>
      <c r="D25" s="12"/>
      <c r="E25" s="12"/>
      <c r="F25" s="1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8" x14ac:dyDescent="0.35">
      <c r="A26" s="11" t="s">
        <v>121</v>
      </c>
      <c r="B26" s="12" t="s">
        <v>98</v>
      </c>
      <c r="C26" s="12" t="s">
        <v>99</v>
      </c>
      <c r="D26" s="12"/>
      <c r="E26" s="13">
        <v>75000</v>
      </c>
      <c r="F26" s="1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8" x14ac:dyDescent="0.35">
      <c r="A27" s="11"/>
      <c r="B27" s="12" t="s">
        <v>119</v>
      </c>
      <c r="C27" s="12"/>
      <c r="D27" s="12"/>
      <c r="E27" s="12"/>
      <c r="F27" s="16">
        <v>75000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8" x14ac:dyDescent="0.35">
      <c r="A28" s="11"/>
      <c r="B28" s="12" t="s">
        <v>122</v>
      </c>
      <c r="C28" s="12"/>
      <c r="D28" s="12"/>
      <c r="E28" s="12"/>
      <c r="F28" s="1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8" x14ac:dyDescent="0.35">
      <c r="A29" s="11" t="s">
        <v>123</v>
      </c>
      <c r="B29" s="12" t="s">
        <v>124</v>
      </c>
      <c r="C29" s="12" t="s">
        <v>99</v>
      </c>
      <c r="D29" s="12"/>
      <c r="E29" s="13">
        <v>4500</v>
      </c>
      <c r="F29" s="1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8" x14ac:dyDescent="0.35">
      <c r="A30" s="11"/>
      <c r="B30" s="12" t="s">
        <v>116</v>
      </c>
      <c r="C30" s="12"/>
      <c r="D30" s="12"/>
      <c r="E30" s="12"/>
      <c r="F30" s="16">
        <v>4500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8" x14ac:dyDescent="0.35">
      <c r="A31" s="11"/>
      <c r="B31" s="12" t="s">
        <v>125</v>
      </c>
      <c r="C31" s="12"/>
      <c r="D31" s="12"/>
      <c r="E31" s="12"/>
      <c r="F31" s="1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8" x14ac:dyDescent="0.35">
      <c r="A32" s="11" t="s">
        <v>126</v>
      </c>
      <c r="B32" s="12" t="s">
        <v>127</v>
      </c>
      <c r="C32" s="12" t="s">
        <v>99</v>
      </c>
      <c r="D32" s="12"/>
      <c r="E32" s="13">
        <v>15000</v>
      </c>
      <c r="F32" s="1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8" x14ac:dyDescent="0.35">
      <c r="A33" s="11"/>
      <c r="B33" s="12" t="s">
        <v>116</v>
      </c>
      <c r="C33" s="12"/>
      <c r="D33" s="12"/>
      <c r="E33" s="12"/>
      <c r="F33" s="16">
        <v>15000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8" x14ac:dyDescent="0.35">
      <c r="A34" s="11"/>
      <c r="B34" s="12" t="s">
        <v>128</v>
      </c>
      <c r="C34" s="12"/>
      <c r="D34" s="12"/>
      <c r="E34" s="12"/>
      <c r="F34" s="1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8" x14ac:dyDescent="0.35">
      <c r="A35" s="11" t="s">
        <v>129</v>
      </c>
      <c r="B35" s="12" t="s">
        <v>130</v>
      </c>
      <c r="C35" s="12" t="s">
        <v>99</v>
      </c>
      <c r="D35" s="12"/>
      <c r="E35" s="13">
        <v>12000</v>
      </c>
      <c r="F35" s="1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8" x14ac:dyDescent="0.35">
      <c r="A36" s="11"/>
      <c r="B36" s="12" t="s">
        <v>131</v>
      </c>
      <c r="C36" s="12"/>
      <c r="D36" s="12"/>
      <c r="E36" s="12"/>
      <c r="F36" s="16">
        <v>12000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8" x14ac:dyDescent="0.35">
      <c r="A37" s="11"/>
      <c r="B37" s="12" t="s">
        <v>132</v>
      </c>
      <c r="C37" s="12"/>
      <c r="D37" s="12"/>
      <c r="E37" s="12"/>
      <c r="F37" s="1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8" x14ac:dyDescent="0.35">
      <c r="A38" s="11" t="s">
        <v>133</v>
      </c>
      <c r="B38" s="12" t="s">
        <v>134</v>
      </c>
      <c r="C38" s="12" t="s">
        <v>99</v>
      </c>
      <c r="D38" s="12"/>
      <c r="E38" s="13">
        <v>10000</v>
      </c>
      <c r="F38" s="1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8" x14ac:dyDescent="0.35">
      <c r="A39" s="11"/>
      <c r="B39" s="12" t="s">
        <v>135</v>
      </c>
      <c r="C39" s="12"/>
      <c r="D39" s="12"/>
      <c r="E39" s="12"/>
      <c r="F39" s="16">
        <v>10000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8" x14ac:dyDescent="0.35">
      <c r="A40" s="11"/>
      <c r="B40" s="12" t="s">
        <v>136</v>
      </c>
      <c r="C40" s="12"/>
      <c r="D40" s="12"/>
      <c r="E40" s="12"/>
      <c r="F40" s="14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8" x14ac:dyDescent="0.35">
      <c r="A41" s="11" t="s">
        <v>137</v>
      </c>
      <c r="B41" s="12" t="s">
        <v>138</v>
      </c>
      <c r="C41" s="12" t="s">
        <v>99</v>
      </c>
      <c r="D41" s="12"/>
      <c r="E41" s="13">
        <v>50000</v>
      </c>
      <c r="F41" s="14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8" x14ac:dyDescent="0.35">
      <c r="A42" s="11"/>
      <c r="B42" s="12" t="s">
        <v>139</v>
      </c>
      <c r="C42" s="12"/>
      <c r="D42" s="12"/>
      <c r="E42" s="12"/>
      <c r="F42" s="16">
        <v>50000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8" x14ac:dyDescent="0.35">
      <c r="A43" s="11"/>
      <c r="B43" s="12" t="s">
        <v>140</v>
      </c>
      <c r="C43" s="12"/>
      <c r="D43" s="12"/>
      <c r="E43" s="12"/>
      <c r="F43" s="14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8" x14ac:dyDescent="0.35">
      <c r="A44" s="11" t="s">
        <v>141</v>
      </c>
      <c r="B44" s="12" t="s">
        <v>142</v>
      </c>
      <c r="C44" s="12" t="s">
        <v>99</v>
      </c>
      <c r="D44" s="12"/>
      <c r="E44" s="13">
        <v>22000</v>
      </c>
      <c r="F44" s="14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8" x14ac:dyDescent="0.35">
      <c r="A45" s="11"/>
      <c r="B45" s="12" t="s">
        <v>116</v>
      </c>
      <c r="C45" s="12"/>
      <c r="D45" s="12"/>
      <c r="E45" s="12"/>
      <c r="F45" s="16">
        <v>22000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8" x14ac:dyDescent="0.35">
      <c r="A46" s="11"/>
      <c r="B46" s="12" t="s">
        <v>143</v>
      </c>
      <c r="C46" s="12"/>
      <c r="D46" s="12"/>
      <c r="E46" s="12"/>
      <c r="F46" s="14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8" x14ac:dyDescent="0.35">
      <c r="A47" s="11" t="s">
        <v>144</v>
      </c>
      <c r="B47" s="12" t="s">
        <v>98</v>
      </c>
      <c r="C47" s="12" t="s">
        <v>99</v>
      </c>
      <c r="D47" s="12"/>
      <c r="E47" s="13">
        <v>210000</v>
      </c>
      <c r="F47" s="14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8" x14ac:dyDescent="0.35">
      <c r="A48" s="11"/>
      <c r="B48" s="12" t="s">
        <v>145</v>
      </c>
      <c r="C48" s="12" t="s">
        <v>99</v>
      </c>
      <c r="D48" s="12"/>
      <c r="E48" s="13">
        <v>6000</v>
      </c>
      <c r="F48" s="14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8" x14ac:dyDescent="0.35">
      <c r="A49" s="11"/>
      <c r="B49" s="12" t="s">
        <v>135</v>
      </c>
      <c r="C49" s="12"/>
      <c r="D49" s="12"/>
      <c r="E49" s="12"/>
      <c r="F49" s="16">
        <v>216000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8" x14ac:dyDescent="0.35">
      <c r="A50" s="11"/>
      <c r="B50" s="12" t="s">
        <v>146</v>
      </c>
      <c r="C50" s="12"/>
      <c r="D50" s="12"/>
      <c r="E50" s="12"/>
      <c r="F50" s="14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8" x14ac:dyDescent="0.35">
      <c r="A51" s="11" t="s">
        <v>147</v>
      </c>
      <c r="B51" s="12" t="s">
        <v>130</v>
      </c>
      <c r="C51" s="12" t="s">
        <v>99</v>
      </c>
      <c r="D51" s="12"/>
      <c r="E51" s="13">
        <v>157000</v>
      </c>
      <c r="F51" s="14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8" x14ac:dyDescent="0.35">
      <c r="A52" s="11"/>
      <c r="B52" s="12" t="s">
        <v>139</v>
      </c>
      <c r="C52" s="12"/>
      <c r="D52" s="12"/>
      <c r="E52" s="13"/>
      <c r="F52" s="16">
        <v>150000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8" x14ac:dyDescent="0.35">
      <c r="A53" s="11"/>
      <c r="B53" s="12" t="s">
        <v>148</v>
      </c>
      <c r="C53" s="12"/>
      <c r="D53" s="12"/>
      <c r="E53" s="12"/>
      <c r="F53" s="16">
        <v>7000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8" x14ac:dyDescent="0.35">
      <c r="A54" s="11"/>
      <c r="B54" s="12" t="s">
        <v>149</v>
      </c>
      <c r="C54" s="12"/>
      <c r="D54" s="12"/>
      <c r="E54" s="12"/>
      <c r="F54" s="14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8" x14ac:dyDescent="0.35">
      <c r="A55" s="11" t="s">
        <v>150</v>
      </c>
      <c r="B55" s="12" t="s">
        <v>151</v>
      </c>
      <c r="C55" s="12" t="s">
        <v>99</v>
      </c>
      <c r="D55" s="12"/>
      <c r="E55" s="13">
        <v>18000</v>
      </c>
      <c r="F55" s="14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8" x14ac:dyDescent="0.35">
      <c r="A56" s="11"/>
      <c r="B56" s="12" t="s">
        <v>116</v>
      </c>
      <c r="C56" s="12"/>
      <c r="D56" s="12"/>
      <c r="E56" s="12"/>
      <c r="F56" s="16">
        <v>18000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8" x14ac:dyDescent="0.35">
      <c r="A57" s="11"/>
      <c r="B57" s="12" t="s">
        <v>152</v>
      </c>
      <c r="C57" s="12"/>
      <c r="D57" s="12"/>
      <c r="E57" s="12"/>
      <c r="F57" s="14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8" x14ac:dyDescent="0.35">
      <c r="A58" s="11" t="s">
        <v>153</v>
      </c>
      <c r="B58" s="12" t="s">
        <v>113</v>
      </c>
      <c r="C58" s="12" t="s">
        <v>99</v>
      </c>
      <c r="D58" s="12"/>
      <c r="E58" s="13">
        <v>85000</v>
      </c>
      <c r="F58" s="14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8" x14ac:dyDescent="0.35">
      <c r="A59" s="11"/>
      <c r="B59" s="12" t="s">
        <v>108</v>
      </c>
      <c r="C59" s="12"/>
      <c r="D59" s="12"/>
      <c r="E59" s="12"/>
      <c r="F59" s="16">
        <v>85000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8" x14ac:dyDescent="0.35">
      <c r="A60" s="11"/>
      <c r="B60" s="12" t="s">
        <v>154</v>
      </c>
      <c r="C60" s="12"/>
      <c r="D60" s="12"/>
      <c r="E60" s="12"/>
      <c r="F60" s="14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8" x14ac:dyDescent="0.35">
      <c r="A61" s="11" t="s">
        <v>155</v>
      </c>
      <c r="B61" s="12" t="s">
        <v>106</v>
      </c>
      <c r="C61" s="12" t="s">
        <v>99</v>
      </c>
      <c r="D61" s="12"/>
      <c r="E61" s="13">
        <v>120000</v>
      </c>
      <c r="F61" s="14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8" x14ac:dyDescent="0.35">
      <c r="A62" s="11"/>
      <c r="B62" s="12" t="s">
        <v>119</v>
      </c>
      <c r="C62" s="12"/>
      <c r="D62" s="12"/>
      <c r="E62" s="12"/>
      <c r="F62" s="16">
        <v>120000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8" x14ac:dyDescent="0.35">
      <c r="A63" s="11"/>
      <c r="B63" s="12" t="s">
        <v>156</v>
      </c>
      <c r="C63" s="12"/>
      <c r="D63" s="12"/>
      <c r="E63" s="12"/>
      <c r="F63" s="14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8" x14ac:dyDescent="0.35">
      <c r="A64" s="11" t="s">
        <v>157</v>
      </c>
      <c r="B64" s="12" t="s">
        <v>100</v>
      </c>
      <c r="C64" s="12" t="s">
        <v>99</v>
      </c>
      <c r="D64" s="12"/>
      <c r="E64" s="13">
        <v>110000</v>
      </c>
      <c r="F64" s="14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8" x14ac:dyDescent="0.35">
      <c r="A65" s="11"/>
      <c r="B65" s="12" t="s">
        <v>158</v>
      </c>
      <c r="C65" s="12"/>
      <c r="D65" s="12"/>
      <c r="E65" s="12"/>
      <c r="F65" s="16">
        <v>110000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8" x14ac:dyDescent="0.35">
      <c r="A66" s="11"/>
      <c r="B66" s="12" t="s">
        <v>159</v>
      </c>
      <c r="C66" s="12"/>
      <c r="D66" s="12"/>
      <c r="E66" s="12"/>
      <c r="F66" s="14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8" x14ac:dyDescent="0.35">
      <c r="A67" s="11" t="s">
        <v>160</v>
      </c>
      <c r="B67" s="12" t="s">
        <v>161</v>
      </c>
      <c r="C67" s="12" t="s">
        <v>99</v>
      </c>
      <c r="D67" s="12"/>
      <c r="E67" s="13">
        <v>5500</v>
      </c>
      <c r="F67" s="14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8" x14ac:dyDescent="0.35">
      <c r="A68" s="11"/>
      <c r="B68" s="12" t="s">
        <v>116</v>
      </c>
      <c r="C68" s="12"/>
      <c r="D68" s="12"/>
      <c r="E68" s="12"/>
      <c r="F68" s="16">
        <v>5500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8" x14ac:dyDescent="0.35">
      <c r="A69" s="11"/>
      <c r="B69" s="12" t="s">
        <v>162</v>
      </c>
      <c r="C69" s="12"/>
      <c r="D69" s="12"/>
      <c r="E69" s="12"/>
      <c r="F69" s="14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8" x14ac:dyDescent="0.35">
      <c r="A70" s="11" t="s">
        <v>163</v>
      </c>
      <c r="B70" s="12" t="s">
        <v>98</v>
      </c>
      <c r="C70" s="12" t="s">
        <v>99</v>
      </c>
      <c r="D70" s="12"/>
      <c r="E70" s="13">
        <v>9000</v>
      </c>
      <c r="F70" s="14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8" x14ac:dyDescent="0.35">
      <c r="A71" s="11"/>
      <c r="B71" s="12" t="s">
        <v>164</v>
      </c>
      <c r="C71" s="12"/>
      <c r="D71" s="12"/>
      <c r="E71" s="12"/>
      <c r="F71" s="16">
        <v>9000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8" x14ac:dyDescent="0.35">
      <c r="A72" s="11"/>
      <c r="B72" s="12" t="s">
        <v>165</v>
      </c>
      <c r="C72" s="12"/>
      <c r="D72" s="12"/>
      <c r="E72" s="12"/>
      <c r="F72" s="14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8" x14ac:dyDescent="0.35">
      <c r="A73" s="11" t="s">
        <v>166</v>
      </c>
      <c r="B73" s="12" t="s">
        <v>98</v>
      </c>
      <c r="C73" s="12" t="s">
        <v>99</v>
      </c>
      <c r="D73" s="12"/>
      <c r="E73" s="13">
        <v>20000</v>
      </c>
      <c r="F73" s="14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8" x14ac:dyDescent="0.35">
      <c r="A74" s="11"/>
      <c r="B74" s="12" t="s">
        <v>139</v>
      </c>
      <c r="C74" s="12"/>
      <c r="D74" s="12"/>
      <c r="E74" s="12"/>
      <c r="F74" s="16">
        <v>20000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8" x14ac:dyDescent="0.35">
      <c r="A75" s="11"/>
      <c r="B75" s="12" t="s">
        <v>167</v>
      </c>
      <c r="C75" s="12"/>
      <c r="D75" s="12"/>
      <c r="E75" s="12"/>
      <c r="F75" s="14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8" x14ac:dyDescent="0.35">
      <c r="A76" s="11" t="s">
        <v>168</v>
      </c>
      <c r="B76" s="12" t="s">
        <v>169</v>
      </c>
      <c r="C76" s="12" t="s">
        <v>99</v>
      </c>
      <c r="D76" s="12"/>
      <c r="E76" s="13">
        <v>12000</v>
      </c>
      <c r="F76" s="14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8" x14ac:dyDescent="0.35">
      <c r="A77" s="11"/>
      <c r="B77" s="12" t="s">
        <v>116</v>
      </c>
      <c r="C77" s="12"/>
      <c r="D77" s="12"/>
      <c r="E77" s="12"/>
      <c r="F77" s="16">
        <v>12000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8" x14ac:dyDescent="0.35">
      <c r="A78" s="11"/>
      <c r="B78" s="12" t="s">
        <v>170</v>
      </c>
      <c r="C78" s="12"/>
      <c r="D78" s="12"/>
      <c r="E78" s="12"/>
      <c r="F78" s="14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8" x14ac:dyDescent="0.35">
      <c r="A79" s="11" t="s">
        <v>171</v>
      </c>
      <c r="B79" s="12" t="s">
        <v>172</v>
      </c>
      <c r="C79" s="12" t="s">
        <v>99</v>
      </c>
      <c r="D79" s="12"/>
      <c r="E79" s="13">
        <v>6000</v>
      </c>
      <c r="F79" s="14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8" x14ac:dyDescent="0.35">
      <c r="A80" s="11"/>
      <c r="B80" s="12" t="s">
        <v>139</v>
      </c>
      <c r="C80" s="12"/>
      <c r="D80" s="12"/>
      <c r="E80" s="12"/>
      <c r="F80" s="16">
        <v>6000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8" x14ac:dyDescent="0.35">
      <c r="A81" s="11"/>
      <c r="B81" s="12" t="s">
        <v>173</v>
      </c>
      <c r="C81" s="12"/>
      <c r="D81" s="12"/>
      <c r="E81" s="12"/>
      <c r="F81" s="14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8" x14ac:dyDescent="0.35">
      <c r="A82" s="11" t="s">
        <v>174</v>
      </c>
      <c r="B82" s="12" t="s">
        <v>175</v>
      </c>
      <c r="C82" s="12" t="s">
        <v>99</v>
      </c>
      <c r="D82" s="12"/>
      <c r="E82" s="13">
        <v>4000</v>
      </c>
      <c r="F82" s="14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8" x14ac:dyDescent="0.35">
      <c r="A83" s="11"/>
      <c r="B83" s="12" t="s">
        <v>116</v>
      </c>
      <c r="C83" s="12"/>
      <c r="D83" s="12"/>
      <c r="E83" s="12"/>
      <c r="F83" s="16">
        <v>4000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8" x14ac:dyDescent="0.35">
      <c r="A84" s="11"/>
      <c r="B84" s="12" t="s">
        <v>176</v>
      </c>
      <c r="C84" s="12"/>
      <c r="D84" s="12"/>
      <c r="E84" s="12"/>
      <c r="F84" s="14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8" x14ac:dyDescent="0.35">
      <c r="A85" s="11" t="s">
        <v>177</v>
      </c>
      <c r="B85" s="12" t="s">
        <v>100</v>
      </c>
      <c r="C85" s="12" t="s">
        <v>99</v>
      </c>
      <c r="D85" s="12"/>
      <c r="E85" s="13">
        <v>3000</v>
      </c>
      <c r="F85" s="14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8" x14ac:dyDescent="0.35">
      <c r="A86" s="11"/>
      <c r="B86" s="12" t="s">
        <v>178</v>
      </c>
      <c r="C86" s="12"/>
      <c r="D86" s="12"/>
      <c r="E86" s="12"/>
      <c r="F86" s="16">
        <v>3000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8" x14ac:dyDescent="0.35">
      <c r="A87" s="11"/>
      <c r="B87" s="12" t="s">
        <v>179</v>
      </c>
      <c r="C87" s="12"/>
      <c r="D87" s="12"/>
      <c r="E87" s="12"/>
      <c r="F87" s="14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8" x14ac:dyDescent="0.35">
      <c r="A88" s="11" t="s">
        <v>180</v>
      </c>
      <c r="B88" s="12" t="s">
        <v>113</v>
      </c>
      <c r="C88" s="12" t="s">
        <v>99</v>
      </c>
      <c r="D88" s="12"/>
      <c r="E88" s="13">
        <v>30000</v>
      </c>
      <c r="F88" s="14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8" x14ac:dyDescent="0.35">
      <c r="A89" s="11"/>
      <c r="B89" s="12" t="s">
        <v>116</v>
      </c>
      <c r="C89" s="12"/>
      <c r="D89" s="12"/>
      <c r="E89" s="12"/>
      <c r="F89" s="16">
        <v>30000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8" x14ac:dyDescent="0.35">
      <c r="A90" s="11"/>
      <c r="B90" s="12" t="s">
        <v>117</v>
      </c>
      <c r="C90" s="12"/>
      <c r="D90" s="12"/>
      <c r="E90" s="12"/>
      <c r="F90" s="14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8" x14ac:dyDescent="0.35">
      <c r="A91" s="11" t="s">
        <v>181</v>
      </c>
      <c r="B91" s="12" t="s">
        <v>182</v>
      </c>
      <c r="C91" s="12" t="s">
        <v>99</v>
      </c>
      <c r="D91" s="12"/>
      <c r="E91" s="13">
        <v>8500</v>
      </c>
      <c r="F91" s="14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8" x14ac:dyDescent="0.35">
      <c r="A92" s="11"/>
      <c r="B92" s="12" t="s">
        <v>116</v>
      </c>
      <c r="C92" s="12"/>
      <c r="D92" s="12"/>
      <c r="E92" s="12"/>
      <c r="F92" s="16">
        <v>8500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8" x14ac:dyDescent="0.35">
      <c r="A93" s="11"/>
      <c r="B93" s="12" t="s">
        <v>183</v>
      </c>
      <c r="C93" s="12"/>
      <c r="D93" s="12"/>
      <c r="E93" s="12"/>
      <c r="F93" s="14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8" x14ac:dyDescent="0.35">
      <c r="A94" s="11" t="s">
        <v>184</v>
      </c>
      <c r="B94" s="12" t="s">
        <v>185</v>
      </c>
      <c r="C94" s="12" t="s">
        <v>99</v>
      </c>
      <c r="D94" s="12"/>
      <c r="E94" s="13">
        <v>2500</v>
      </c>
      <c r="F94" s="14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8" x14ac:dyDescent="0.35">
      <c r="A95" s="11"/>
      <c r="B95" s="12" t="s">
        <v>116</v>
      </c>
      <c r="C95" s="12"/>
      <c r="D95" s="12"/>
      <c r="E95" s="12"/>
      <c r="F95" s="16">
        <v>2500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8" x14ac:dyDescent="0.35">
      <c r="A96" s="11"/>
      <c r="B96" s="12" t="s">
        <v>186</v>
      </c>
      <c r="C96" s="12"/>
      <c r="D96" s="12"/>
      <c r="E96" s="12"/>
      <c r="F96" s="14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8" x14ac:dyDescent="0.35">
      <c r="A97" s="11" t="s">
        <v>187</v>
      </c>
      <c r="B97" s="12" t="s">
        <v>102</v>
      </c>
      <c r="C97" s="12" t="s">
        <v>99</v>
      </c>
      <c r="D97" s="12"/>
      <c r="E97" s="13">
        <v>25000</v>
      </c>
      <c r="F97" s="14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8" x14ac:dyDescent="0.35">
      <c r="A98" s="11"/>
      <c r="B98" s="12" t="s">
        <v>116</v>
      </c>
      <c r="C98" s="12"/>
      <c r="D98" s="12"/>
      <c r="E98" s="12"/>
      <c r="F98" s="16">
        <v>25000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8" x14ac:dyDescent="0.35">
      <c r="A99" s="11"/>
      <c r="B99" s="12" t="s">
        <v>188</v>
      </c>
      <c r="C99" s="12"/>
      <c r="D99" s="12"/>
      <c r="E99" s="12"/>
      <c r="F99" s="14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8" x14ac:dyDescent="0.35">
      <c r="A100" s="11" t="s">
        <v>189</v>
      </c>
      <c r="B100" s="12" t="s">
        <v>190</v>
      </c>
      <c r="C100" s="12" t="s">
        <v>99</v>
      </c>
      <c r="D100" s="12"/>
      <c r="E100" s="13">
        <v>5000</v>
      </c>
      <c r="F100" s="14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8" x14ac:dyDescent="0.35">
      <c r="A101" s="11"/>
      <c r="B101" s="12" t="s">
        <v>191</v>
      </c>
      <c r="C101" s="12"/>
      <c r="D101" s="12"/>
      <c r="E101" s="12"/>
      <c r="F101" s="16">
        <v>5000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8" x14ac:dyDescent="0.35">
      <c r="A102" s="11"/>
      <c r="B102" s="12" t="s">
        <v>192</v>
      </c>
      <c r="C102" s="12"/>
      <c r="D102" s="12"/>
      <c r="E102" s="12"/>
      <c r="F102" s="14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8" x14ac:dyDescent="0.35">
      <c r="A103" s="11" t="s">
        <v>193</v>
      </c>
      <c r="B103" s="12" t="s">
        <v>100</v>
      </c>
      <c r="C103" s="12" t="s">
        <v>99</v>
      </c>
      <c r="D103" s="12"/>
      <c r="E103" s="13">
        <v>40000</v>
      </c>
      <c r="F103" s="14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8" x14ac:dyDescent="0.35">
      <c r="A104" s="11"/>
      <c r="B104" s="12" t="s">
        <v>116</v>
      </c>
      <c r="C104" s="12"/>
      <c r="D104" s="12"/>
      <c r="E104" s="12"/>
      <c r="F104" s="16">
        <v>40000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8.600000000000001" thickBot="1" x14ac:dyDescent="0.4">
      <c r="A105" s="17"/>
      <c r="B105" s="18" t="s">
        <v>194</v>
      </c>
      <c r="C105" s="18"/>
      <c r="D105" s="18"/>
      <c r="E105" s="18"/>
      <c r="F105" s="19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8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8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8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8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8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8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8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8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8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8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8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8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8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8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8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8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8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8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8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8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8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8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8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8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8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8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8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8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8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8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8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8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8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8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8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8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8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8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8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8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8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8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8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8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8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8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8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8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8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8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8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8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8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8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8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8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8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8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8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8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8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8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8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8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8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8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8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8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8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8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8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8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8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8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8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8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8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8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8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8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8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8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8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8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8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8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8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8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8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8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8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8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8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8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8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8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8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8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8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8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8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8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8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8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8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8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8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8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8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8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8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8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8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8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8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8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8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8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8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8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8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8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8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8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8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8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8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8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8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8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8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8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8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8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8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8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8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8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8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8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8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8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8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8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8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8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8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8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8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8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8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8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8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8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8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8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8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8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8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8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8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8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8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8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8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8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8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8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8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8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8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8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8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8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8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8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8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8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8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8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8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8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8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8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8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8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8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8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8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8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8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8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8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8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8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8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8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8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8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8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9F783-78F4-4AE0-9EE0-BB30BE671433}">
  <dimension ref="A1:H295"/>
  <sheetViews>
    <sheetView workbookViewId="0">
      <selection activeCell="M7" sqref="M7"/>
    </sheetView>
  </sheetViews>
  <sheetFormatPr defaultRowHeight="14.4" x14ac:dyDescent="0.3"/>
  <cols>
    <col min="1" max="1" width="17" customWidth="1"/>
    <col min="2" max="2" width="32.77734375" customWidth="1"/>
    <col min="4" max="4" width="22.21875" customWidth="1"/>
    <col min="5" max="5" width="17.88671875" customWidth="1"/>
    <col min="6" max="6" width="42.77734375" customWidth="1"/>
    <col min="8" max="8" width="22.77734375" customWidth="1"/>
  </cols>
  <sheetData>
    <row r="1" spans="1:8" ht="17.399999999999999" x14ac:dyDescent="0.3">
      <c r="A1" s="55" t="s">
        <v>195</v>
      </c>
      <c r="B1" s="56"/>
      <c r="C1" s="56"/>
      <c r="D1" s="56"/>
      <c r="E1" s="56"/>
      <c r="F1" s="56"/>
      <c r="G1" s="56"/>
      <c r="H1" s="56"/>
    </row>
    <row r="2" spans="1:8" ht="17.399999999999999" x14ac:dyDescent="0.3">
      <c r="A2" s="55" t="s">
        <v>196</v>
      </c>
      <c r="B2" s="56"/>
      <c r="C2" s="56"/>
      <c r="D2" s="56"/>
      <c r="E2" s="56"/>
      <c r="F2" s="56"/>
      <c r="G2" s="56"/>
      <c r="H2" s="56"/>
    </row>
    <row r="3" spans="1:8" ht="18" thickBot="1" x14ac:dyDescent="0.35">
      <c r="A3" s="57" t="s">
        <v>197</v>
      </c>
      <c r="B3" s="56"/>
      <c r="C3" s="56"/>
      <c r="D3" s="56"/>
      <c r="E3" s="56"/>
      <c r="F3" s="56"/>
      <c r="G3" s="56"/>
      <c r="H3" s="56"/>
    </row>
    <row r="4" spans="1:8" ht="18" thickBot="1" x14ac:dyDescent="0.35">
      <c r="A4" s="4" t="s">
        <v>24</v>
      </c>
      <c r="B4" s="5" t="s">
        <v>9</v>
      </c>
      <c r="C4" s="5" t="s">
        <v>198</v>
      </c>
      <c r="D4" s="5" t="s">
        <v>199</v>
      </c>
      <c r="E4" s="5" t="s">
        <v>24</v>
      </c>
      <c r="F4" s="5" t="s">
        <v>200</v>
      </c>
      <c r="G4" s="5" t="s">
        <v>198</v>
      </c>
      <c r="H4" s="6" t="s">
        <v>199</v>
      </c>
    </row>
    <row r="5" spans="1:8" ht="18" x14ac:dyDescent="0.35">
      <c r="A5" s="7" t="s">
        <v>97</v>
      </c>
      <c r="B5" s="20" t="s">
        <v>201</v>
      </c>
      <c r="C5" s="21"/>
      <c r="D5" s="9">
        <v>80000</v>
      </c>
      <c r="E5" s="8" t="s">
        <v>97</v>
      </c>
      <c r="F5" s="20" t="s">
        <v>202</v>
      </c>
      <c r="G5" s="8"/>
      <c r="H5" s="22">
        <v>45000</v>
      </c>
    </row>
    <row r="6" spans="1:8" ht="18" x14ac:dyDescent="0.35">
      <c r="A6" s="11" t="s">
        <v>97</v>
      </c>
      <c r="B6" s="15" t="s">
        <v>203</v>
      </c>
      <c r="C6" s="12"/>
      <c r="D6" s="13">
        <v>40000</v>
      </c>
      <c r="E6" s="12" t="s">
        <v>97</v>
      </c>
      <c r="F6" s="15" t="s">
        <v>204</v>
      </c>
      <c r="G6" s="12"/>
      <c r="H6" s="16">
        <v>120000</v>
      </c>
    </row>
    <row r="7" spans="1:8" ht="18" x14ac:dyDescent="0.35">
      <c r="A7" s="11" t="s">
        <v>97</v>
      </c>
      <c r="B7" s="15" t="s">
        <v>205</v>
      </c>
      <c r="C7" s="12"/>
      <c r="D7" s="13">
        <v>100000</v>
      </c>
      <c r="E7" s="12" t="s">
        <v>97</v>
      </c>
      <c r="F7" s="15" t="s">
        <v>206</v>
      </c>
      <c r="G7" s="12"/>
      <c r="H7" s="16">
        <v>90000</v>
      </c>
    </row>
    <row r="8" spans="1:8" ht="18" x14ac:dyDescent="0.35">
      <c r="A8" s="11" t="s">
        <v>207</v>
      </c>
      <c r="B8" s="12" t="s">
        <v>208</v>
      </c>
      <c r="C8" s="12"/>
      <c r="D8" s="13">
        <v>450000</v>
      </c>
      <c r="E8" s="12" t="s">
        <v>97</v>
      </c>
      <c r="F8" s="15" t="s">
        <v>209</v>
      </c>
      <c r="G8" s="12"/>
      <c r="H8" s="16">
        <v>60000</v>
      </c>
    </row>
    <row r="9" spans="1:8" ht="18" x14ac:dyDescent="0.35">
      <c r="A9" s="23"/>
      <c r="B9" s="24"/>
      <c r="C9" s="24"/>
      <c r="D9" s="24"/>
      <c r="E9" s="12" t="s">
        <v>97</v>
      </c>
      <c r="F9" s="15" t="s">
        <v>210</v>
      </c>
      <c r="G9" s="12"/>
      <c r="H9" s="16">
        <v>200000</v>
      </c>
    </row>
    <row r="10" spans="1:8" ht="18" x14ac:dyDescent="0.35">
      <c r="A10" s="11"/>
      <c r="B10" s="12"/>
      <c r="C10" s="12"/>
      <c r="D10" s="13"/>
      <c r="E10" s="12" t="s">
        <v>97</v>
      </c>
      <c r="F10" s="15" t="s">
        <v>211</v>
      </c>
      <c r="G10" s="12"/>
      <c r="H10" s="16">
        <v>40000</v>
      </c>
    </row>
    <row r="11" spans="1:8" ht="18" x14ac:dyDescent="0.35">
      <c r="A11" s="11"/>
      <c r="B11" s="12"/>
      <c r="C11" s="12"/>
      <c r="D11" s="13"/>
      <c r="E11" s="12" t="s">
        <v>97</v>
      </c>
      <c r="F11" s="15" t="s">
        <v>212</v>
      </c>
      <c r="G11" s="12"/>
      <c r="H11" s="16">
        <v>70000</v>
      </c>
    </row>
    <row r="12" spans="1:8" ht="18" x14ac:dyDescent="0.35">
      <c r="A12" s="11"/>
      <c r="B12" s="12"/>
      <c r="C12" s="12"/>
      <c r="D12" s="13"/>
      <c r="E12" s="12" t="s">
        <v>97</v>
      </c>
      <c r="F12" s="15" t="s">
        <v>213</v>
      </c>
      <c r="G12" s="12"/>
      <c r="H12" s="16">
        <v>45000</v>
      </c>
    </row>
    <row r="13" spans="1:8" ht="18" x14ac:dyDescent="0.35">
      <c r="A13" s="11"/>
      <c r="B13" s="12"/>
      <c r="C13" s="12"/>
      <c r="D13" s="25">
        <v>670000</v>
      </c>
      <c r="E13" s="12"/>
      <c r="F13" s="12"/>
      <c r="G13" s="12"/>
      <c r="H13" s="26">
        <v>670000</v>
      </c>
    </row>
    <row r="14" spans="1:8" ht="18.600000000000001" thickBot="1" x14ac:dyDescent="0.4">
      <c r="A14" s="17"/>
      <c r="B14" s="18"/>
      <c r="C14" s="18"/>
      <c r="D14" s="18"/>
      <c r="E14" s="18" t="s">
        <v>214</v>
      </c>
      <c r="F14" s="18" t="s">
        <v>215</v>
      </c>
      <c r="G14" s="18"/>
      <c r="H14" s="27">
        <v>450000</v>
      </c>
    </row>
    <row r="15" spans="1:8" ht="17.399999999999999" x14ac:dyDescent="0.3">
      <c r="A15" s="55" t="s">
        <v>216</v>
      </c>
      <c r="B15" s="56"/>
      <c r="C15" s="56"/>
      <c r="D15" s="56"/>
      <c r="E15" s="56"/>
      <c r="F15" s="56"/>
      <c r="G15" s="56"/>
      <c r="H15" s="56"/>
    </row>
    <row r="16" spans="1:8" ht="18" thickBot="1" x14ac:dyDescent="0.35">
      <c r="A16" s="57" t="s">
        <v>197</v>
      </c>
      <c r="B16" s="56"/>
      <c r="C16" s="56"/>
      <c r="D16" s="56"/>
      <c r="E16" s="56"/>
      <c r="F16" s="56"/>
      <c r="G16" s="56"/>
      <c r="H16" s="56"/>
    </row>
    <row r="17" spans="1:8" ht="18" thickBot="1" x14ac:dyDescent="0.35">
      <c r="A17" s="4" t="s">
        <v>24</v>
      </c>
      <c r="B17" s="5" t="s">
        <v>9</v>
      </c>
      <c r="C17" s="5" t="s">
        <v>198</v>
      </c>
      <c r="D17" s="5" t="s">
        <v>199</v>
      </c>
      <c r="E17" s="5" t="s">
        <v>24</v>
      </c>
      <c r="F17" s="5" t="s">
        <v>200</v>
      </c>
      <c r="G17" s="5" t="s">
        <v>198</v>
      </c>
      <c r="H17" s="6" t="s">
        <v>199</v>
      </c>
    </row>
    <row r="18" spans="1:8" ht="18" x14ac:dyDescent="0.35">
      <c r="A18" s="7" t="s">
        <v>97</v>
      </c>
      <c r="B18" s="8" t="s">
        <v>217</v>
      </c>
      <c r="C18" s="8"/>
      <c r="D18" s="9">
        <v>45000</v>
      </c>
      <c r="E18" s="8" t="s">
        <v>115</v>
      </c>
      <c r="F18" s="8" t="s">
        <v>218</v>
      </c>
      <c r="G18" s="8"/>
      <c r="H18" s="22">
        <v>35000</v>
      </c>
    </row>
    <row r="19" spans="1:8" ht="18" x14ac:dyDescent="0.35">
      <c r="A19" s="11" t="s">
        <v>121</v>
      </c>
      <c r="B19" s="12" t="s">
        <v>219</v>
      </c>
      <c r="C19" s="12"/>
      <c r="D19" s="13">
        <v>75000</v>
      </c>
      <c r="E19" s="12" t="s">
        <v>123</v>
      </c>
      <c r="F19" s="12" t="s">
        <v>220</v>
      </c>
      <c r="G19" s="12"/>
      <c r="H19" s="16">
        <v>4500</v>
      </c>
    </row>
    <row r="20" spans="1:8" ht="18" x14ac:dyDescent="0.35">
      <c r="A20" s="11" t="s">
        <v>144</v>
      </c>
      <c r="B20" s="12" t="s">
        <v>221</v>
      </c>
      <c r="C20" s="12"/>
      <c r="D20" s="13">
        <v>210000</v>
      </c>
      <c r="E20" s="12" t="s">
        <v>126</v>
      </c>
      <c r="F20" s="12" t="s">
        <v>222</v>
      </c>
      <c r="G20" s="12"/>
      <c r="H20" s="16">
        <v>15000</v>
      </c>
    </row>
    <row r="21" spans="1:8" ht="18" x14ac:dyDescent="0.35">
      <c r="A21" s="11" t="s">
        <v>163</v>
      </c>
      <c r="B21" s="12" t="s">
        <v>223</v>
      </c>
      <c r="C21" s="12"/>
      <c r="D21" s="13">
        <v>9000</v>
      </c>
      <c r="E21" s="12" t="s">
        <v>141</v>
      </c>
      <c r="F21" s="12" t="s">
        <v>224</v>
      </c>
      <c r="G21" s="12"/>
      <c r="H21" s="16">
        <v>22000</v>
      </c>
    </row>
    <row r="22" spans="1:8" ht="18" x14ac:dyDescent="0.35">
      <c r="A22" s="11" t="s">
        <v>166</v>
      </c>
      <c r="B22" s="12" t="s">
        <v>225</v>
      </c>
      <c r="C22" s="12"/>
      <c r="D22" s="13">
        <v>20000</v>
      </c>
      <c r="E22" s="12" t="s">
        <v>150</v>
      </c>
      <c r="F22" s="12" t="s">
        <v>226</v>
      </c>
      <c r="G22" s="12"/>
      <c r="H22" s="16">
        <v>18000</v>
      </c>
    </row>
    <row r="23" spans="1:8" ht="18" x14ac:dyDescent="0.35">
      <c r="A23" s="11"/>
      <c r="B23" s="12"/>
      <c r="C23" s="12"/>
      <c r="D23" s="13"/>
      <c r="E23" s="12" t="s">
        <v>160</v>
      </c>
      <c r="F23" s="12" t="s">
        <v>227</v>
      </c>
      <c r="G23" s="12"/>
      <c r="H23" s="16">
        <v>5500</v>
      </c>
    </row>
    <row r="24" spans="1:8" ht="18" x14ac:dyDescent="0.35">
      <c r="A24" s="11"/>
      <c r="B24" s="12"/>
      <c r="C24" s="12"/>
      <c r="D24" s="12"/>
      <c r="E24" s="12" t="s">
        <v>168</v>
      </c>
      <c r="F24" s="12" t="s">
        <v>228</v>
      </c>
      <c r="G24" s="12"/>
      <c r="H24" s="16">
        <v>12000</v>
      </c>
    </row>
    <row r="25" spans="1:8" ht="18" x14ac:dyDescent="0.35">
      <c r="A25" s="11"/>
      <c r="B25" s="12"/>
      <c r="C25" s="12"/>
      <c r="D25" s="12"/>
      <c r="E25" s="12" t="s">
        <v>174</v>
      </c>
      <c r="F25" s="12" t="s">
        <v>229</v>
      </c>
      <c r="G25" s="12"/>
      <c r="H25" s="16">
        <v>4000</v>
      </c>
    </row>
    <row r="26" spans="1:8" ht="18" x14ac:dyDescent="0.35">
      <c r="A26" s="11"/>
      <c r="B26" s="12"/>
      <c r="C26" s="12"/>
      <c r="D26" s="12"/>
      <c r="E26" s="12" t="s">
        <v>180</v>
      </c>
      <c r="F26" s="12" t="s">
        <v>218</v>
      </c>
      <c r="G26" s="12"/>
      <c r="H26" s="16">
        <v>30000</v>
      </c>
    </row>
    <row r="27" spans="1:8" ht="18" x14ac:dyDescent="0.35">
      <c r="A27" s="11"/>
      <c r="B27" s="12"/>
      <c r="C27" s="12"/>
      <c r="D27" s="12"/>
      <c r="E27" s="12" t="s">
        <v>181</v>
      </c>
      <c r="F27" s="12" t="s">
        <v>230</v>
      </c>
      <c r="G27" s="12"/>
      <c r="H27" s="16">
        <v>8500</v>
      </c>
    </row>
    <row r="28" spans="1:8" ht="18" x14ac:dyDescent="0.35">
      <c r="A28" s="11"/>
      <c r="B28" s="12"/>
      <c r="C28" s="12"/>
      <c r="D28" s="12"/>
      <c r="E28" s="12" t="s">
        <v>184</v>
      </c>
      <c r="F28" s="12" t="s">
        <v>231</v>
      </c>
      <c r="G28" s="12"/>
      <c r="H28" s="16">
        <v>2500</v>
      </c>
    </row>
    <row r="29" spans="1:8" ht="18" x14ac:dyDescent="0.35">
      <c r="A29" s="11"/>
      <c r="B29" s="12"/>
      <c r="C29" s="12"/>
      <c r="D29" s="12"/>
      <c r="E29" s="12" t="s">
        <v>187</v>
      </c>
      <c r="F29" s="12" t="s">
        <v>209</v>
      </c>
      <c r="G29" s="12"/>
      <c r="H29" s="16">
        <v>25000</v>
      </c>
    </row>
    <row r="30" spans="1:8" ht="18" x14ac:dyDescent="0.35">
      <c r="A30" s="11"/>
      <c r="B30" s="12"/>
      <c r="C30" s="12"/>
      <c r="D30" s="12"/>
      <c r="E30" s="12" t="s">
        <v>189</v>
      </c>
      <c r="F30" s="12" t="s">
        <v>232</v>
      </c>
      <c r="G30" s="12"/>
      <c r="H30" s="16">
        <v>5000</v>
      </c>
    </row>
    <row r="31" spans="1:8" ht="18" x14ac:dyDescent="0.35">
      <c r="A31" s="11"/>
      <c r="B31" s="12"/>
      <c r="C31" s="12"/>
      <c r="D31" s="12"/>
      <c r="E31" s="12" t="s">
        <v>193</v>
      </c>
      <c r="F31" s="12" t="s">
        <v>204</v>
      </c>
      <c r="G31" s="12"/>
      <c r="H31" s="16">
        <v>40000</v>
      </c>
    </row>
    <row r="32" spans="1:8" ht="18" x14ac:dyDescent="0.35">
      <c r="A32" s="11"/>
      <c r="B32" s="12"/>
      <c r="C32" s="12"/>
      <c r="D32" s="12"/>
      <c r="E32" s="11" t="s">
        <v>207</v>
      </c>
      <c r="F32" s="12" t="s">
        <v>233</v>
      </c>
      <c r="G32" s="12"/>
      <c r="H32" s="16">
        <v>132000</v>
      </c>
    </row>
    <row r="33" spans="1:8" ht="18" x14ac:dyDescent="0.35">
      <c r="A33" s="11"/>
      <c r="B33" s="12"/>
      <c r="C33" s="12"/>
      <c r="D33" s="25">
        <v>359000</v>
      </c>
      <c r="E33" s="12"/>
      <c r="F33" s="12"/>
      <c r="G33" s="12"/>
      <c r="H33" s="26">
        <v>359000</v>
      </c>
    </row>
    <row r="34" spans="1:8" ht="18.600000000000001" thickBot="1" x14ac:dyDescent="0.4">
      <c r="A34" s="17" t="s">
        <v>214</v>
      </c>
      <c r="B34" s="18" t="s">
        <v>217</v>
      </c>
      <c r="C34" s="18"/>
      <c r="D34" s="28">
        <v>132000</v>
      </c>
      <c r="E34" s="18"/>
      <c r="F34" s="18"/>
      <c r="G34" s="18"/>
      <c r="H34" s="19"/>
    </row>
    <row r="35" spans="1:8" ht="17.399999999999999" x14ac:dyDescent="0.3">
      <c r="A35" s="55" t="s">
        <v>234</v>
      </c>
      <c r="B35" s="56"/>
      <c r="C35" s="56"/>
      <c r="D35" s="56"/>
      <c r="E35" s="56"/>
      <c r="F35" s="56"/>
      <c r="G35" s="56"/>
      <c r="H35" s="56"/>
    </row>
    <row r="36" spans="1:8" ht="18" thickBot="1" x14ac:dyDescent="0.35">
      <c r="A36" s="57" t="s">
        <v>197</v>
      </c>
      <c r="B36" s="56"/>
      <c r="C36" s="56"/>
      <c r="D36" s="56"/>
      <c r="E36" s="56"/>
      <c r="F36" s="56"/>
      <c r="G36" s="56"/>
      <c r="H36" s="56"/>
    </row>
    <row r="37" spans="1:8" ht="18" thickBot="1" x14ac:dyDescent="0.35">
      <c r="A37" s="4" t="s">
        <v>24</v>
      </c>
      <c r="B37" s="5" t="s">
        <v>9</v>
      </c>
      <c r="C37" s="5" t="s">
        <v>198</v>
      </c>
      <c r="D37" s="5" t="s">
        <v>199</v>
      </c>
      <c r="E37" s="5" t="s">
        <v>24</v>
      </c>
      <c r="F37" s="5" t="s">
        <v>200</v>
      </c>
      <c r="G37" s="5" t="s">
        <v>198</v>
      </c>
      <c r="H37" s="6" t="s">
        <v>199</v>
      </c>
    </row>
    <row r="38" spans="1:8" ht="18" x14ac:dyDescent="0.35">
      <c r="A38" s="7" t="s">
        <v>112</v>
      </c>
      <c r="B38" s="8" t="s">
        <v>201</v>
      </c>
      <c r="C38" s="8"/>
      <c r="D38" s="9">
        <v>110000</v>
      </c>
      <c r="E38" s="8" t="s">
        <v>207</v>
      </c>
      <c r="F38" s="8" t="s">
        <v>233</v>
      </c>
      <c r="G38" s="8"/>
      <c r="H38" s="22">
        <v>260000</v>
      </c>
    </row>
    <row r="39" spans="1:8" ht="18" x14ac:dyDescent="0.35">
      <c r="A39" s="11" t="s">
        <v>115</v>
      </c>
      <c r="B39" s="12" t="s">
        <v>235</v>
      </c>
      <c r="C39" s="12"/>
      <c r="D39" s="13">
        <v>35000</v>
      </c>
      <c r="E39" s="12"/>
      <c r="F39" s="12"/>
      <c r="G39" s="12"/>
      <c r="H39" s="14"/>
    </row>
    <row r="40" spans="1:8" ht="18" x14ac:dyDescent="0.35">
      <c r="A40" s="11" t="s">
        <v>153</v>
      </c>
      <c r="B40" s="12" t="s">
        <v>203</v>
      </c>
      <c r="C40" s="12"/>
      <c r="D40" s="13">
        <v>85000</v>
      </c>
      <c r="E40" s="12"/>
      <c r="F40" s="12"/>
      <c r="G40" s="12"/>
      <c r="H40" s="14"/>
    </row>
    <row r="41" spans="1:8" ht="18" x14ac:dyDescent="0.35">
      <c r="A41" s="11" t="s">
        <v>180</v>
      </c>
      <c r="B41" s="12" t="s">
        <v>235</v>
      </c>
      <c r="C41" s="12"/>
      <c r="D41" s="13">
        <v>30000</v>
      </c>
      <c r="E41" s="12"/>
      <c r="F41" s="12"/>
      <c r="G41" s="12"/>
      <c r="H41" s="14"/>
    </row>
    <row r="42" spans="1:8" ht="18" x14ac:dyDescent="0.35">
      <c r="A42" s="11"/>
      <c r="B42" s="12"/>
      <c r="C42" s="12"/>
      <c r="D42" s="12"/>
      <c r="E42" s="12"/>
      <c r="F42" s="12"/>
      <c r="G42" s="12"/>
      <c r="H42" s="14"/>
    </row>
    <row r="43" spans="1:8" ht="18" x14ac:dyDescent="0.35">
      <c r="A43" s="11"/>
      <c r="B43" s="12"/>
      <c r="C43" s="12"/>
      <c r="D43" s="25">
        <v>260000</v>
      </c>
      <c r="E43" s="12"/>
      <c r="F43" s="12"/>
      <c r="G43" s="12"/>
      <c r="H43" s="26">
        <v>260000</v>
      </c>
    </row>
    <row r="44" spans="1:8" ht="18.600000000000001" thickBot="1" x14ac:dyDescent="0.4">
      <c r="A44" s="17" t="s">
        <v>214</v>
      </c>
      <c r="B44" s="18" t="s">
        <v>217</v>
      </c>
      <c r="C44" s="18"/>
      <c r="D44" s="28">
        <v>260000</v>
      </c>
      <c r="E44" s="18"/>
      <c r="F44" s="18"/>
      <c r="G44" s="18"/>
      <c r="H44" s="19"/>
    </row>
    <row r="45" spans="1:8" ht="17.399999999999999" x14ac:dyDescent="0.3">
      <c r="A45" s="55" t="s">
        <v>236</v>
      </c>
      <c r="B45" s="56"/>
      <c r="C45" s="56"/>
      <c r="D45" s="56"/>
      <c r="E45" s="56"/>
      <c r="F45" s="56"/>
      <c r="G45" s="56"/>
      <c r="H45" s="56"/>
    </row>
    <row r="46" spans="1:8" ht="18" thickBot="1" x14ac:dyDescent="0.35">
      <c r="A46" s="57" t="s">
        <v>197</v>
      </c>
      <c r="B46" s="56"/>
      <c r="C46" s="56"/>
      <c r="D46" s="56"/>
      <c r="E46" s="56"/>
      <c r="F46" s="56"/>
      <c r="G46" s="56"/>
      <c r="H46" s="56"/>
    </row>
    <row r="47" spans="1:8" ht="18" thickBot="1" x14ac:dyDescent="0.35">
      <c r="A47" s="4" t="s">
        <v>24</v>
      </c>
      <c r="B47" s="5" t="s">
        <v>9</v>
      </c>
      <c r="C47" s="5" t="s">
        <v>198</v>
      </c>
      <c r="D47" s="5" t="s">
        <v>199</v>
      </c>
      <c r="E47" s="5" t="s">
        <v>24</v>
      </c>
      <c r="F47" s="5" t="s">
        <v>200</v>
      </c>
      <c r="G47" s="5" t="s">
        <v>198</v>
      </c>
      <c r="H47" s="6" t="s">
        <v>199</v>
      </c>
    </row>
    <row r="48" spans="1:8" ht="18" x14ac:dyDescent="0.35">
      <c r="A48" s="7" t="s">
        <v>129</v>
      </c>
      <c r="B48" s="8" t="s">
        <v>237</v>
      </c>
      <c r="C48" s="8"/>
      <c r="D48" s="9">
        <v>12000</v>
      </c>
      <c r="E48" s="8" t="s">
        <v>97</v>
      </c>
      <c r="F48" s="8" t="s">
        <v>215</v>
      </c>
      <c r="G48" s="8"/>
      <c r="H48" s="22">
        <v>80000</v>
      </c>
    </row>
    <row r="49" spans="1:8" ht="18" x14ac:dyDescent="0.35">
      <c r="A49" s="11" t="s">
        <v>147</v>
      </c>
      <c r="B49" s="12" t="s">
        <v>225</v>
      </c>
      <c r="C49" s="12"/>
      <c r="D49" s="13">
        <v>150000</v>
      </c>
      <c r="E49" s="12" t="s">
        <v>112</v>
      </c>
      <c r="F49" s="12" t="s">
        <v>218</v>
      </c>
      <c r="G49" s="12"/>
      <c r="H49" s="16">
        <v>110000</v>
      </c>
    </row>
    <row r="50" spans="1:8" ht="18" x14ac:dyDescent="0.35">
      <c r="A50" s="11" t="s">
        <v>147</v>
      </c>
      <c r="B50" s="12" t="s">
        <v>238</v>
      </c>
      <c r="C50" s="12"/>
      <c r="D50" s="13">
        <v>7000</v>
      </c>
      <c r="E50" s="12"/>
      <c r="F50" s="12"/>
      <c r="G50" s="12"/>
      <c r="H50" s="16"/>
    </row>
    <row r="51" spans="1:8" ht="18" x14ac:dyDescent="0.35">
      <c r="A51" s="11" t="s">
        <v>207</v>
      </c>
      <c r="B51" s="12" t="s">
        <v>208</v>
      </c>
      <c r="C51" s="12"/>
      <c r="D51" s="13">
        <v>21000</v>
      </c>
      <c r="E51" s="12"/>
      <c r="F51" s="12"/>
      <c r="G51" s="12"/>
      <c r="H51" s="14"/>
    </row>
    <row r="52" spans="1:8" ht="18" x14ac:dyDescent="0.35">
      <c r="A52" s="11"/>
      <c r="B52" s="12"/>
      <c r="C52" s="12"/>
      <c r="D52" s="25">
        <v>190000</v>
      </c>
      <c r="E52" s="12"/>
      <c r="F52" s="12"/>
      <c r="G52" s="12"/>
      <c r="H52" s="26">
        <v>190000</v>
      </c>
    </row>
    <row r="53" spans="1:8" ht="18.600000000000001" thickBot="1" x14ac:dyDescent="0.4">
      <c r="A53" s="17"/>
      <c r="B53" s="18"/>
      <c r="C53" s="18"/>
      <c r="D53" s="18"/>
      <c r="E53" s="18" t="s">
        <v>214</v>
      </c>
      <c r="F53" s="18" t="s">
        <v>215</v>
      </c>
      <c r="G53" s="18"/>
      <c r="H53" s="27">
        <v>21000</v>
      </c>
    </row>
    <row r="54" spans="1:8" ht="17.399999999999999" x14ac:dyDescent="0.3">
      <c r="A54" s="55" t="s">
        <v>239</v>
      </c>
      <c r="B54" s="56"/>
      <c r="C54" s="56"/>
      <c r="D54" s="56"/>
      <c r="E54" s="56"/>
      <c r="F54" s="56"/>
      <c r="G54" s="56"/>
      <c r="H54" s="56"/>
    </row>
    <row r="55" spans="1:8" ht="18" thickBot="1" x14ac:dyDescent="0.35">
      <c r="A55" s="57" t="s">
        <v>197</v>
      </c>
      <c r="B55" s="56"/>
      <c r="C55" s="56"/>
      <c r="D55" s="56"/>
      <c r="E55" s="56"/>
      <c r="F55" s="56"/>
      <c r="G55" s="56"/>
      <c r="H55" s="56"/>
    </row>
    <row r="56" spans="1:8" ht="18" thickBot="1" x14ac:dyDescent="0.35">
      <c r="A56" s="4" t="s">
        <v>24</v>
      </c>
      <c r="B56" s="5" t="s">
        <v>9</v>
      </c>
      <c r="C56" s="5" t="s">
        <v>198</v>
      </c>
      <c r="D56" s="5" t="s">
        <v>199</v>
      </c>
      <c r="E56" s="5" t="s">
        <v>24</v>
      </c>
      <c r="F56" s="5" t="s">
        <v>200</v>
      </c>
      <c r="G56" s="5" t="s">
        <v>198</v>
      </c>
      <c r="H56" s="6" t="s">
        <v>199</v>
      </c>
    </row>
    <row r="57" spans="1:8" ht="18" x14ac:dyDescent="0.35">
      <c r="A57" s="7" t="s">
        <v>97</v>
      </c>
      <c r="B57" s="8" t="s">
        <v>217</v>
      </c>
      <c r="C57" s="8"/>
      <c r="D57" s="9">
        <v>70000</v>
      </c>
      <c r="E57" s="8" t="s">
        <v>133</v>
      </c>
      <c r="F57" s="8" t="s">
        <v>240</v>
      </c>
      <c r="G57" s="8"/>
      <c r="H57" s="22">
        <v>10000</v>
      </c>
    </row>
    <row r="58" spans="1:8" ht="18" x14ac:dyDescent="0.35">
      <c r="A58" s="11" t="s">
        <v>118</v>
      </c>
      <c r="B58" s="12" t="s">
        <v>219</v>
      </c>
      <c r="C58" s="12"/>
      <c r="D58" s="13">
        <v>160000</v>
      </c>
      <c r="E58" s="12" t="s">
        <v>144</v>
      </c>
      <c r="F58" s="12" t="s">
        <v>202</v>
      </c>
      <c r="G58" s="12"/>
      <c r="H58" s="16">
        <v>210000</v>
      </c>
    </row>
    <row r="59" spans="1:8" ht="18" x14ac:dyDescent="0.35">
      <c r="A59" s="11"/>
      <c r="B59" s="12"/>
      <c r="C59" s="12"/>
      <c r="D59" s="12"/>
      <c r="E59" s="12" t="s">
        <v>144</v>
      </c>
      <c r="F59" s="12" t="s">
        <v>241</v>
      </c>
      <c r="G59" s="12"/>
      <c r="H59" s="16">
        <v>6000</v>
      </c>
    </row>
    <row r="60" spans="1:8" ht="18" x14ac:dyDescent="0.35">
      <c r="A60" s="11"/>
      <c r="B60" s="12"/>
      <c r="C60" s="12"/>
      <c r="D60" s="12"/>
      <c r="E60" s="12" t="s">
        <v>207</v>
      </c>
      <c r="F60" s="12" t="s">
        <v>233</v>
      </c>
      <c r="G60" s="12"/>
      <c r="H60" s="16">
        <v>4000</v>
      </c>
    </row>
    <row r="61" spans="1:8" ht="18" x14ac:dyDescent="0.35">
      <c r="A61" s="11"/>
      <c r="B61" s="12"/>
      <c r="C61" s="12"/>
      <c r="D61" s="25">
        <v>230000</v>
      </c>
      <c r="E61" s="12"/>
      <c r="F61" s="12"/>
      <c r="G61" s="12"/>
      <c r="H61" s="26">
        <v>230000</v>
      </c>
    </row>
    <row r="62" spans="1:8" ht="18.600000000000001" thickBot="1" x14ac:dyDescent="0.4">
      <c r="A62" s="17" t="s">
        <v>214</v>
      </c>
      <c r="B62" s="18" t="s">
        <v>217</v>
      </c>
      <c r="C62" s="18"/>
      <c r="D62" s="28">
        <v>4000</v>
      </c>
      <c r="E62" s="18"/>
      <c r="F62" s="18"/>
      <c r="G62" s="18"/>
      <c r="H62" s="19"/>
    </row>
    <row r="63" spans="1:8" ht="17.399999999999999" x14ac:dyDescent="0.3">
      <c r="A63" s="55" t="s">
        <v>242</v>
      </c>
      <c r="B63" s="56"/>
      <c r="C63" s="56"/>
      <c r="D63" s="56"/>
      <c r="E63" s="56"/>
      <c r="F63" s="56"/>
      <c r="G63" s="56"/>
      <c r="H63" s="56"/>
    </row>
    <row r="64" spans="1:8" ht="18" thickBot="1" x14ac:dyDescent="0.35">
      <c r="A64" s="57" t="s">
        <v>197</v>
      </c>
      <c r="B64" s="56"/>
      <c r="C64" s="56"/>
      <c r="D64" s="56"/>
      <c r="E64" s="56"/>
      <c r="F64" s="56"/>
      <c r="G64" s="56"/>
      <c r="H64" s="56"/>
    </row>
    <row r="65" spans="1:8" ht="18" thickBot="1" x14ac:dyDescent="0.35">
      <c r="A65" s="4" t="s">
        <v>24</v>
      </c>
      <c r="B65" s="5" t="s">
        <v>9</v>
      </c>
      <c r="C65" s="5" t="s">
        <v>198</v>
      </c>
      <c r="D65" s="5" t="s">
        <v>199</v>
      </c>
      <c r="E65" s="5" t="s">
        <v>24</v>
      </c>
      <c r="F65" s="5" t="s">
        <v>200</v>
      </c>
      <c r="G65" s="5" t="s">
        <v>198</v>
      </c>
      <c r="H65" s="6" t="s">
        <v>199</v>
      </c>
    </row>
    <row r="66" spans="1:8" ht="18" x14ac:dyDescent="0.35">
      <c r="A66" s="7" t="s">
        <v>207</v>
      </c>
      <c r="B66" s="8" t="s">
        <v>208</v>
      </c>
      <c r="C66" s="8"/>
      <c r="D66" s="9">
        <v>355000</v>
      </c>
      <c r="E66" s="8" t="s">
        <v>118</v>
      </c>
      <c r="F66" s="8" t="s">
        <v>212</v>
      </c>
      <c r="G66" s="8"/>
      <c r="H66" s="22">
        <v>160000</v>
      </c>
    </row>
    <row r="67" spans="1:8" ht="18" x14ac:dyDescent="0.35">
      <c r="A67" s="11"/>
      <c r="B67" s="12"/>
      <c r="C67" s="12"/>
      <c r="D67" s="12"/>
      <c r="E67" s="12" t="s">
        <v>121</v>
      </c>
      <c r="F67" s="12" t="s">
        <v>202</v>
      </c>
      <c r="G67" s="12"/>
      <c r="H67" s="16">
        <v>75000</v>
      </c>
    </row>
    <row r="68" spans="1:8" ht="18" x14ac:dyDescent="0.35">
      <c r="A68" s="11"/>
      <c r="B68" s="12"/>
      <c r="C68" s="12"/>
      <c r="D68" s="12"/>
      <c r="E68" s="12" t="s">
        <v>155</v>
      </c>
      <c r="F68" s="12" t="s">
        <v>213</v>
      </c>
      <c r="G68" s="12"/>
      <c r="H68" s="16">
        <v>120000</v>
      </c>
    </row>
    <row r="69" spans="1:8" ht="18" x14ac:dyDescent="0.35">
      <c r="A69" s="11"/>
      <c r="B69" s="12"/>
      <c r="C69" s="12"/>
      <c r="D69" s="12"/>
      <c r="E69" s="12"/>
      <c r="F69" s="12"/>
      <c r="G69" s="12"/>
      <c r="H69" s="14"/>
    </row>
    <row r="70" spans="1:8" ht="18" x14ac:dyDescent="0.35">
      <c r="A70" s="11"/>
      <c r="B70" s="12"/>
      <c r="C70" s="12"/>
      <c r="D70" s="25">
        <v>355000</v>
      </c>
      <c r="E70" s="12"/>
      <c r="F70" s="12"/>
      <c r="G70" s="12"/>
      <c r="H70" s="26">
        <v>355000</v>
      </c>
    </row>
    <row r="71" spans="1:8" ht="18.600000000000001" thickBot="1" x14ac:dyDescent="0.4">
      <c r="A71" s="17"/>
      <c r="B71" s="18"/>
      <c r="C71" s="18"/>
      <c r="D71" s="18"/>
      <c r="E71" s="18" t="s">
        <v>214</v>
      </c>
      <c r="F71" s="18" t="s">
        <v>215</v>
      </c>
      <c r="G71" s="18"/>
      <c r="H71" s="27">
        <v>355000</v>
      </c>
    </row>
    <row r="72" spans="1:8" ht="17.399999999999999" x14ac:dyDescent="0.3">
      <c r="A72" s="55" t="s">
        <v>243</v>
      </c>
      <c r="B72" s="56"/>
      <c r="C72" s="56"/>
      <c r="D72" s="56"/>
      <c r="E72" s="56"/>
      <c r="F72" s="56"/>
      <c r="G72" s="56"/>
      <c r="H72" s="56"/>
    </row>
    <row r="73" spans="1:8" ht="18" thickBot="1" x14ac:dyDescent="0.35">
      <c r="A73" s="57" t="s">
        <v>197</v>
      </c>
      <c r="B73" s="56"/>
      <c r="C73" s="56"/>
      <c r="D73" s="56"/>
      <c r="E73" s="56"/>
      <c r="F73" s="56"/>
      <c r="G73" s="56"/>
      <c r="H73" s="56"/>
    </row>
    <row r="74" spans="1:8" ht="18" thickBot="1" x14ac:dyDescent="0.35">
      <c r="A74" s="4" t="s">
        <v>24</v>
      </c>
      <c r="B74" s="5" t="s">
        <v>9</v>
      </c>
      <c r="C74" s="5" t="s">
        <v>198</v>
      </c>
      <c r="D74" s="5" t="s">
        <v>199</v>
      </c>
      <c r="E74" s="5" t="s">
        <v>24</v>
      </c>
      <c r="F74" s="5" t="s">
        <v>200</v>
      </c>
      <c r="G74" s="5" t="s">
        <v>198</v>
      </c>
      <c r="H74" s="6" t="s">
        <v>199</v>
      </c>
    </row>
    <row r="75" spans="1:8" ht="18" x14ac:dyDescent="0.35">
      <c r="A75" s="7" t="s">
        <v>123</v>
      </c>
      <c r="B75" s="8" t="s">
        <v>235</v>
      </c>
      <c r="C75" s="8"/>
      <c r="D75" s="9">
        <v>4500</v>
      </c>
      <c r="E75" s="8" t="s">
        <v>207</v>
      </c>
      <c r="F75" s="8" t="s">
        <v>233</v>
      </c>
      <c r="G75" s="8"/>
      <c r="H75" s="22">
        <v>4500</v>
      </c>
    </row>
    <row r="76" spans="1:8" ht="18" x14ac:dyDescent="0.35">
      <c r="A76" s="11"/>
      <c r="B76" s="12"/>
      <c r="C76" s="12"/>
      <c r="D76" s="12"/>
      <c r="E76" s="12"/>
      <c r="F76" s="12"/>
      <c r="G76" s="12"/>
      <c r="H76" s="14"/>
    </row>
    <row r="77" spans="1:8" ht="18" x14ac:dyDescent="0.35">
      <c r="A77" s="11"/>
      <c r="B77" s="12"/>
      <c r="C77" s="12"/>
      <c r="D77" s="25">
        <v>4500</v>
      </c>
      <c r="E77" s="12"/>
      <c r="F77" s="12"/>
      <c r="G77" s="12"/>
      <c r="H77" s="26">
        <v>4500</v>
      </c>
    </row>
    <row r="78" spans="1:8" ht="18.600000000000001" thickBot="1" x14ac:dyDescent="0.4">
      <c r="A78" s="17" t="s">
        <v>214</v>
      </c>
      <c r="B78" s="18" t="s">
        <v>217</v>
      </c>
      <c r="C78" s="18"/>
      <c r="D78" s="28">
        <v>4500</v>
      </c>
      <c r="E78" s="18"/>
      <c r="F78" s="18"/>
      <c r="G78" s="18"/>
      <c r="H78" s="19"/>
    </row>
    <row r="79" spans="1:8" ht="17.399999999999999" x14ac:dyDescent="0.3">
      <c r="A79" s="55" t="s">
        <v>244</v>
      </c>
      <c r="B79" s="56"/>
      <c r="C79" s="56"/>
      <c r="D79" s="56"/>
      <c r="E79" s="56"/>
      <c r="F79" s="56"/>
      <c r="G79" s="56"/>
      <c r="H79" s="56"/>
    </row>
    <row r="80" spans="1:8" ht="18" thickBot="1" x14ac:dyDescent="0.35">
      <c r="A80" s="57" t="s">
        <v>197</v>
      </c>
      <c r="B80" s="56"/>
      <c r="C80" s="56"/>
      <c r="D80" s="56"/>
      <c r="E80" s="56"/>
      <c r="F80" s="56"/>
      <c r="G80" s="56"/>
      <c r="H80" s="56"/>
    </row>
    <row r="81" spans="1:8" ht="18" thickBot="1" x14ac:dyDescent="0.35">
      <c r="A81" s="4" t="s">
        <v>24</v>
      </c>
      <c r="B81" s="5" t="s">
        <v>9</v>
      </c>
      <c r="C81" s="5" t="s">
        <v>198</v>
      </c>
      <c r="D81" s="5" t="s">
        <v>199</v>
      </c>
      <c r="E81" s="5" t="s">
        <v>24</v>
      </c>
      <c r="F81" s="5" t="s">
        <v>200</v>
      </c>
      <c r="G81" s="5" t="s">
        <v>198</v>
      </c>
      <c r="H81" s="6" t="s">
        <v>199</v>
      </c>
    </row>
    <row r="82" spans="1:8" ht="18" x14ac:dyDescent="0.35">
      <c r="A82" s="7" t="s">
        <v>126</v>
      </c>
      <c r="B82" s="8" t="s">
        <v>235</v>
      </c>
      <c r="C82" s="8"/>
      <c r="D82" s="9">
        <v>15000</v>
      </c>
      <c r="E82" s="8" t="s">
        <v>207</v>
      </c>
      <c r="F82" s="8" t="s">
        <v>233</v>
      </c>
      <c r="G82" s="8"/>
      <c r="H82" s="22">
        <v>15000</v>
      </c>
    </row>
    <row r="83" spans="1:8" ht="18" x14ac:dyDescent="0.35">
      <c r="A83" s="11"/>
      <c r="B83" s="12"/>
      <c r="C83" s="12"/>
      <c r="D83" s="12"/>
      <c r="E83" s="12"/>
      <c r="F83" s="12"/>
      <c r="G83" s="12"/>
      <c r="H83" s="14"/>
    </row>
    <row r="84" spans="1:8" ht="18" x14ac:dyDescent="0.35">
      <c r="A84" s="11"/>
      <c r="B84" s="12"/>
      <c r="C84" s="12"/>
      <c r="D84" s="25">
        <v>15000</v>
      </c>
      <c r="E84" s="12"/>
      <c r="F84" s="12"/>
      <c r="G84" s="12"/>
      <c r="H84" s="26">
        <v>15000</v>
      </c>
    </row>
    <row r="85" spans="1:8" ht="18.600000000000001" thickBot="1" x14ac:dyDescent="0.4">
      <c r="A85" s="17" t="s">
        <v>214</v>
      </c>
      <c r="B85" s="18" t="s">
        <v>217</v>
      </c>
      <c r="C85" s="18"/>
      <c r="D85" s="28">
        <v>15000</v>
      </c>
      <c r="E85" s="18"/>
      <c r="F85" s="18"/>
      <c r="G85" s="18"/>
      <c r="H85" s="19"/>
    </row>
    <row r="86" spans="1:8" ht="17.399999999999999" x14ac:dyDescent="0.3">
      <c r="A86" s="55" t="s">
        <v>245</v>
      </c>
      <c r="B86" s="56"/>
      <c r="C86" s="56"/>
      <c r="D86" s="56"/>
      <c r="E86" s="56"/>
      <c r="F86" s="56"/>
      <c r="G86" s="56"/>
      <c r="H86" s="56"/>
    </row>
    <row r="87" spans="1:8" ht="18" thickBot="1" x14ac:dyDescent="0.35">
      <c r="A87" s="57" t="s">
        <v>197</v>
      </c>
      <c r="B87" s="56"/>
      <c r="C87" s="56"/>
      <c r="D87" s="56"/>
      <c r="E87" s="56"/>
      <c r="F87" s="56"/>
      <c r="G87" s="56"/>
      <c r="H87" s="56"/>
    </row>
    <row r="88" spans="1:8" ht="18" thickBot="1" x14ac:dyDescent="0.35">
      <c r="A88" s="4" t="s">
        <v>24</v>
      </c>
      <c r="B88" s="5" t="s">
        <v>9</v>
      </c>
      <c r="C88" s="5" t="s">
        <v>198</v>
      </c>
      <c r="D88" s="5" t="s">
        <v>199</v>
      </c>
      <c r="E88" s="5" t="s">
        <v>24</v>
      </c>
      <c r="F88" s="5" t="s">
        <v>200</v>
      </c>
      <c r="G88" s="5" t="s">
        <v>198</v>
      </c>
      <c r="H88" s="6" t="s">
        <v>199</v>
      </c>
    </row>
    <row r="89" spans="1:8" ht="18" x14ac:dyDescent="0.35">
      <c r="A89" s="7" t="s">
        <v>207</v>
      </c>
      <c r="B89" s="8" t="s">
        <v>208</v>
      </c>
      <c r="C89" s="8"/>
      <c r="D89" s="9">
        <v>12000</v>
      </c>
      <c r="E89" s="8" t="s">
        <v>129</v>
      </c>
      <c r="F89" s="8" t="s">
        <v>246</v>
      </c>
      <c r="G89" s="8"/>
      <c r="H89" s="22">
        <v>12000</v>
      </c>
    </row>
    <row r="90" spans="1:8" ht="18" x14ac:dyDescent="0.35">
      <c r="A90" s="11"/>
      <c r="B90" s="12"/>
      <c r="C90" s="12"/>
      <c r="D90" s="12"/>
      <c r="E90" s="12"/>
      <c r="F90" s="12"/>
      <c r="G90" s="12"/>
      <c r="H90" s="14"/>
    </row>
    <row r="91" spans="1:8" ht="18" x14ac:dyDescent="0.35">
      <c r="A91" s="11"/>
      <c r="B91" s="12"/>
      <c r="C91" s="12"/>
      <c r="D91" s="25">
        <v>12000</v>
      </c>
      <c r="E91" s="12"/>
      <c r="F91" s="12"/>
      <c r="G91" s="12"/>
      <c r="H91" s="26">
        <v>12000</v>
      </c>
    </row>
    <row r="92" spans="1:8" ht="18.600000000000001" thickBot="1" x14ac:dyDescent="0.4">
      <c r="A92" s="17"/>
      <c r="B92" s="18"/>
      <c r="C92" s="18"/>
      <c r="D92" s="18"/>
      <c r="E92" s="18" t="s">
        <v>214</v>
      </c>
      <c r="F92" s="18" t="s">
        <v>215</v>
      </c>
      <c r="G92" s="18"/>
      <c r="H92" s="27">
        <v>12000</v>
      </c>
    </row>
    <row r="93" spans="1:8" ht="17.399999999999999" x14ac:dyDescent="0.3">
      <c r="A93" s="55" t="s">
        <v>247</v>
      </c>
      <c r="B93" s="56"/>
      <c r="C93" s="56"/>
      <c r="D93" s="56"/>
      <c r="E93" s="56"/>
      <c r="F93" s="56"/>
      <c r="G93" s="56"/>
      <c r="H93" s="56"/>
    </row>
    <row r="94" spans="1:8" ht="18" thickBot="1" x14ac:dyDescent="0.35">
      <c r="A94" s="57" t="s">
        <v>197</v>
      </c>
      <c r="B94" s="56"/>
      <c r="C94" s="56"/>
      <c r="D94" s="56"/>
      <c r="E94" s="56"/>
      <c r="F94" s="56"/>
      <c r="G94" s="56"/>
      <c r="H94" s="56"/>
    </row>
    <row r="95" spans="1:8" ht="18" thickBot="1" x14ac:dyDescent="0.35">
      <c r="A95" s="4" t="s">
        <v>24</v>
      </c>
      <c r="B95" s="5" t="s">
        <v>9</v>
      </c>
      <c r="C95" s="5" t="s">
        <v>198</v>
      </c>
      <c r="D95" s="5" t="s">
        <v>199</v>
      </c>
      <c r="E95" s="5" t="s">
        <v>24</v>
      </c>
      <c r="F95" s="5" t="s">
        <v>200</v>
      </c>
      <c r="G95" s="5" t="s">
        <v>198</v>
      </c>
      <c r="H95" s="6" t="s">
        <v>199</v>
      </c>
    </row>
    <row r="96" spans="1:8" ht="18" x14ac:dyDescent="0.35">
      <c r="A96" s="7" t="s">
        <v>133</v>
      </c>
      <c r="B96" s="8" t="s">
        <v>221</v>
      </c>
      <c r="C96" s="8"/>
      <c r="D96" s="9">
        <v>10000</v>
      </c>
      <c r="E96" s="8" t="s">
        <v>207</v>
      </c>
      <c r="F96" s="8" t="s">
        <v>233</v>
      </c>
      <c r="G96" s="8"/>
      <c r="H96" s="22">
        <v>10000</v>
      </c>
    </row>
    <row r="97" spans="1:8" ht="18" x14ac:dyDescent="0.35">
      <c r="A97" s="11"/>
      <c r="B97" s="12"/>
      <c r="C97" s="12"/>
      <c r="D97" s="12"/>
      <c r="E97" s="12"/>
      <c r="F97" s="12"/>
      <c r="G97" s="12"/>
      <c r="H97" s="14"/>
    </row>
    <row r="98" spans="1:8" ht="18" x14ac:dyDescent="0.35">
      <c r="A98" s="11"/>
      <c r="B98" s="12"/>
      <c r="C98" s="12"/>
      <c r="D98" s="25">
        <v>10000</v>
      </c>
      <c r="E98" s="12"/>
      <c r="F98" s="12"/>
      <c r="G98" s="12"/>
      <c r="H98" s="26">
        <v>10000</v>
      </c>
    </row>
    <row r="99" spans="1:8" ht="18.600000000000001" thickBot="1" x14ac:dyDescent="0.4">
      <c r="A99" s="17" t="s">
        <v>214</v>
      </c>
      <c r="B99" s="18" t="s">
        <v>217</v>
      </c>
      <c r="C99" s="18"/>
      <c r="D99" s="28">
        <v>10000</v>
      </c>
      <c r="E99" s="18"/>
      <c r="F99" s="18"/>
      <c r="G99" s="18"/>
      <c r="H99" s="19"/>
    </row>
    <row r="100" spans="1:8" ht="17.399999999999999" x14ac:dyDescent="0.3">
      <c r="A100" s="55" t="s">
        <v>248</v>
      </c>
      <c r="B100" s="56"/>
      <c r="C100" s="56"/>
      <c r="D100" s="56"/>
      <c r="E100" s="56"/>
      <c r="F100" s="56"/>
      <c r="G100" s="56"/>
      <c r="H100" s="56"/>
    </row>
    <row r="101" spans="1:8" ht="18" thickBot="1" x14ac:dyDescent="0.35">
      <c r="A101" s="57" t="s">
        <v>197</v>
      </c>
      <c r="B101" s="56"/>
      <c r="C101" s="56"/>
      <c r="D101" s="56"/>
      <c r="E101" s="56"/>
      <c r="F101" s="56"/>
      <c r="G101" s="56"/>
      <c r="H101" s="56"/>
    </row>
    <row r="102" spans="1:8" ht="18" thickBot="1" x14ac:dyDescent="0.35">
      <c r="A102" s="4" t="s">
        <v>24</v>
      </c>
      <c r="B102" s="5" t="s">
        <v>9</v>
      </c>
      <c r="C102" s="5" t="s">
        <v>198</v>
      </c>
      <c r="D102" s="5" t="s">
        <v>199</v>
      </c>
      <c r="E102" s="5" t="s">
        <v>24</v>
      </c>
      <c r="F102" s="5" t="s">
        <v>200</v>
      </c>
      <c r="G102" s="5" t="s">
        <v>198</v>
      </c>
      <c r="H102" s="6" t="s">
        <v>199</v>
      </c>
    </row>
    <row r="103" spans="1:8" ht="18" x14ac:dyDescent="0.35">
      <c r="A103" s="7" t="s">
        <v>137</v>
      </c>
      <c r="B103" s="8" t="s">
        <v>225</v>
      </c>
      <c r="C103" s="8"/>
      <c r="D103" s="9">
        <v>50000</v>
      </c>
      <c r="E103" s="8" t="s">
        <v>207</v>
      </c>
      <c r="F103" s="8" t="s">
        <v>233</v>
      </c>
      <c r="G103" s="8"/>
      <c r="H103" s="22">
        <v>50000</v>
      </c>
    </row>
    <row r="104" spans="1:8" ht="18" x14ac:dyDescent="0.35">
      <c r="A104" s="11"/>
      <c r="B104" s="12"/>
      <c r="C104" s="12"/>
      <c r="D104" s="12"/>
      <c r="E104" s="12"/>
      <c r="F104" s="12"/>
      <c r="G104" s="12"/>
      <c r="H104" s="14"/>
    </row>
    <row r="105" spans="1:8" ht="18" x14ac:dyDescent="0.35">
      <c r="A105" s="11"/>
      <c r="B105" s="12"/>
      <c r="C105" s="12"/>
      <c r="D105" s="25">
        <v>50000</v>
      </c>
      <c r="E105" s="12"/>
      <c r="F105" s="12"/>
      <c r="G105" s="12"/>
      <c r="H105" s="26">
        <v>50000</v>
      </c>
    </row>
    <row r="106" spans="1:8" ht="18.600000000000001" thickBot="1" x14ac:dyDescent="0.4">
      <c r="A106" s="17" t="s">
        <v>214</v>
      </c>
      <c r="B106" s="18" t="s">
        <v>217</v>
      </c>
      <c r="C106" s="18"/>
      <c r="D106" s="28">
        <v>50000</v>
      </c>
      <c r="E106" s="18"/>
      <c r="F106" s="18"/>
      <c r="G106" s="18"/>
      <c r="H106" s="19"/>
    </row>
    <row r="107" spans="1:8" ht="17.399999999999999" x14ac:dyDescent="0.3">
      <c r="A107" s="55" t="s">
        <v>249</v>
      </c>
      <c r="B107" s="56"/>
      <c r="C107" s="56"/>
      <c r="D107" s="56"/>
      <c r="E107" s="56"/>
      <c r="F107" s="56"/>
      <c r="G107" s="56"/>
      <c r="H107" s="56"/>
    </row>
    <row r="108" spans="1:8" ht="18" thickBot="1" x14ac:dyDescent="0.35">
      <c r="A108" s="57" t="s">
        <v>197</v>
      </c>
      <c r="B108" s="56"/>
      <c r="C108" s="56"/>
      <c r="D108" s="56"/>
      <c r="E108" s="56"/>
      <c r="F108" s="56"/>
      <c r="G108" s="56"/>
      <c r="H108" s="56"/>
    </row>
    <row r="109" spans="1:8" ht="18" thickBot="1" x14ac:dyDescent="0.35">
      <c r="A109" s="4" t="s">
        <v>24</v>
      </c>
      <c r="B109" s="5" t="s">
        <v>9</v>
      </c>
      <c r="C109" s="5" t="s">
        <v>198</v>
      </c>
      <c r="D109" s="5" t="s">
        <v>199</v>
      </c>
      <c r="E109" s="5" t="s">
        <v>24</v>
      </c>
      <c r="F109" s="5" t="s">
        <v>200</v>
      </c>
      <c r="G109" s="5" t="s">
        <v>198</v>
      </c>
      <c r="H109" s="6" t="s">
        <v>199</v>
      </c>
    </row>
    <row r="110" spans="1:8" ht="18" x14ac:dyDescent="0.35">
      <c r="A110" s="7" t="s">
        <v>97</v>
      </c>
      <c r="B110" s="8" t="s">
        <v>217</v>
      </c>
      <c r="C110" s="8"/>
      <c r="D110" s="9">
        <v>120000</v>
      </c>
      <c r="E110" s="8" t="s">
        <v>137</v>
      </c>
      <c r="F110" s="8" t="s">
        <v>250</v>
      </c>
      <c r="G110" s="8"/>
      <c r="H110" s="22">
        <v>50000</v>
      </c>
    </row>
    <row r="111" spans="1:8" ht="18" x14ac:dyDescent="0.35">
      <c r="A111" s="11" t="s">
        <v>157</v>
      </c>
      <c r="B111" s="12" t="s">
        <v>251</v>
      </c>
      <c r="C111" s="12"/>
      <c r="D111" s="13">
        <v>110000</v>
      </c>
      <c r="E111" s="12" t="s">
        <v>147</v>
      </c>
      <c r="F111" s="12" t="s">
        <v>246</v>
      </c>
      <c r="G111" s="12"/>
      <c r="H111" s="16">
        <v>150000</v>
      </c>
    </row>
    <row r="112" spans="1:8" ht="18" x14ac:dyDescent="0.35">
      <c r="A112" s="11" t="s">
        <v>177</v>
      </c>
      <c r="B112" s="12" t="s">
        <v>252</v>
      </c>
      <c r="C112" s="12"/>
      <c r="D112" s="13">
        <v>3000</v>
      </c>
      <c r="E112" s="12" t="s">
        <v>166</v>
      </c>
      <c r="F112" s="12" t="s">
        <v>204</v>
      </c>
      <c r="G112" s="12"/>
      <c r="H112" s="16">
        <v>20000</v>
      </c>
    </row>
    <row r="113" spans="1:8" ht="18" x14ac:dyDescent="0.35">
      <c r="A113" s="11" t="s">
        <v>193</v>
      </c>
      <c r="B113" s="12" t="s">
        <v>225</v>
      </c>
      <c r="C113" s="12"/>
      <c r="D113" s="13">
        <v>40000</v>
      </c>
      <c r="E113" s="12" t="s">
        <v>171</v>
      </c>
      <c r="F113" s="12" t="s">
        <v>253</v>
      </c>
      <c r="G113" s="12"/>
      <c r="H113" s="16">
        <v>6000</v>
      </c>
    </row>
    <row r="114" spans="1:8" ht="18" x14ac:dyDescent="0.35">
      <c r="A114" s="11"/>
      <c r="B114" s="12"/>
      <c r="C114" s="12"/>
      <c r="D114" s="12"/>
      <c r="E114" s="12" t="s">
        <v>207</v>
      </c>
      <c r="F114" s="12" t="s">
        <v>233</v>
      </c>
      <c r="G114" s="12"/>
      <c r="H114" s="16">
        <v>47000</v>
      </c>
    </row>
    <row r="115" spans="1:8" ht="18" x14ac:dyDescent="0.35">
      <c r="A115" s="11"/>
      <c r="B115" s="12"/>
      <c r="C115" s="12"/>
      <c r="D115" s="25">
        <v>273000</v>
      </c>
      <c r="E115" s="12"/>
      <c r="F115" s="12"/>
      <c r="G115" s="12"/>
      <c r="H115" s="26">
        <v>273000</v>
      </c>
    </row>
    <row r="116" spans="1:8" ht="18.600000000000001" thickBot="1" x14ac:dyDescent="0.4">
      <c r="A116" s="17" t="s">
        <v>214</v>
      </c>
      <c r="B116" s="18" t="s">
        <v>217</v>
      </c>
      <c r="C116" s="18"/>
      <c r="D116" s="28">
        <v>47000</v>
      </c>
      <c r="E116" s="18"/>
      <c r="F116" s="18"/>
      <c r="G116" s="18"/>
      <c r="H116" s="19"/>
    </row>
    <row r="117" spans="1:8" ht="17.399999999999999" x14ac:dyDescent="0.3">
      <c r="A117" s="55" t="s">
        <v>254</v>
      </c>
      <c r="B117" s="56"/>
      <c r="C117" s="56"/>
      <c r="D117" s="56"/>
      <c r="E117" s="56"/>
      <c r="F117" s="56"/>
      <c r="G117" s="56"/>
      <c r="H117" s="56"/>
    </row>
    <row r="118" spans="1:8" ht="18" thickBot="1" x14ac:dyDescent="0.35">
      <c r="A118" s="57" t="s">
        <v>197</v>
      </c>
      <c r="B118" s="56"/>
      <c r="C118" s="56"/>
      <c r="D118" s="56"/>
      <c r="E118" s="56"/>
      <c r="F118" s="56"/>
      <c r="G118" s="56"/>
      <c r="H118" s="56"/>
    </row>
    <row r="119" spans="1:8" ht="18" thickBot="1" x14ac:dyDescent="0.35">
      <c r="A119" s="4" t="s">
        <v>24</v>
      </c>
      <c r="B119" s="5" t="s">
        <v>9</v>
      </c>
      <c r="C119" s="5" t="s">
        <v>198</v>
      </c>
      <c r="D119" s="5" t="s">
        <v>199</v>
      </c>
      <c r="E119" s="5" t="s">
        <v>24</v>
      </c>
      <c r="F119" s="5" t="s">
        <v>200</v>
      </c>
      <c r="G119" s="5" t="s">
        <v>198</v>
      </c>
      <c r="H119" s="6" t="s">
        <v>199</v>
      </c>
    </row>
    <row r="120" spans="1:8" ht="18" x14ac:dyDescent="0.35">
      <c r="A120" s="7" t="s">
        <v>141</v>
      </c>
      <c r="B120" s="8" t="s">
        <v>235</v>
      </c>
      <c r="C120" s="8"/>
      <c r="D120" s="9">
        <v>22000</v>
      </c>
      <c r="E120" s="8" t="s">
        <v>207</v>
      </c>
      <c r="F120" s="8" t="s">
        <v>233</v>
      </c>
      <c r="G120" s="8"/>
      <c r="H120" s="22">
        <v>22000</v>
      </c>
    </row>
    <row r="121" spans="1:8" ht="18" x14ac:dyDescent="0.35">
      <c r="A121" s="11"/>
      <c r="B121" s="12"/>
      <c r="C121" s="12"/>
      <c r="D121" s="12"/>
      <c r="E121" s="12"/>
      <c r="F121" s="12"/>
      <c r="G121" s="12"/>
      <c r="H121" s="14"/>
    </row>
    <row r="122" spans="1:8" ht="18" x14ac:dyDescent="0.35">
      <c r="A122" s="11"/>
      <c r="B122" s="12"/>
      <c r="C122" s="12"/>
      <c r="D122" s="25">
        <v>22000</v>
      </c>
      <c r="E122" s="12"/>
      <c r="F122" s="12"/>
      <c r="G122" s="12"/>
      <c r="H122" s="26">
        <v>22000</v>
      </c>
    </row>
    <row r="123" spans="1:8" ht="18.600000000000001" thickBot="1" x14ac:dyDescent="0.4">
      <c r="A123" s="17" t="s">
        <v>214</v>
      </c>
      <c r="B123" s="18" t="s">
        <v>217</v>
      </c>
      <c r="C123" s="18"/>
      <c r="D123" s="28">
        <v>22000</v>
      </c>
      <c r="E123" s="18"/>
      <c r="F123" s="18"/>
      <c r="G123" s="18"/>
      <c r="H123" s="19"/>
    </row>
    <row r="124" spans="1:8" ht="17.399999999999999" x14ac:dyDescent="0.3">
      <c r="A124" s="55" t="s">
        <v>255</v>
      </c>
      <c r="B124" s="56"/>
      <c r="C124" s="56"/>
      <c r="D124" s="56"/>
      <c r="E124" s="56"/>
      <c r="F124" s="56"/>
      <c r="G124" s="56"/>
      <c r="H124" s="56"/>
    </row>
    <row r="125" spans="1:8" ht="18" thickBot="1" x14ac:dyDescent="0.35">
      <c r="A125" s="57" t="s">
        <v>197</v>
      </c>
      <c r="B125" s="56"/>
      <c r="C125" s="56"/>
      <c r="D125" s="56"/>
      <c r="E125" s="56"/>
      <c r="F125" s="56"/>
      <c r="G125" s="56"/>
      <c r="H125" s="56"/>
    </row>
    <row r="126" spans="1:8" ht="18" thickBot="1" x14ac:dyDescent="0.35">
      <c r="A126" s="4" t="s">
        <v>24</v>
      </c>
      <c r="B126" s="5" t="s">
        <v>9</v>
      </c>
      <c r="C126" s="5" t="s">
        <v>198</v>
      </c>
      <c r="D126" s="5" t="s">
        <v>199</v>
      </c>
      <c r="E126" s="5" t="s">
        <v>24</v>
      </c>
      <c r="F126" s="5" t="s">
        <v>200</v>
      </c>
      <c r="G126" s="5" t="s">
        <v>198</v>
      </c>
      <c r="H126" s="6" t="s">
        <v>199</v>
      </c>
    </row>
    <row r="127" spans="1:8" ht="18" x14ac:dyDescent="0.35">
      <c r="A127" s="7" t="s">
        <v>144</v>
      </c>
      <c r="B127" s="8" t="s">
        <v>256</v>
      </c>
      <c r="C127" s="8"/>
      <c r="D127" s="9">
        <v>6000</v>
      </c>
      <c r="E127" s="8" t="s">
        <v>207</v>
      </c>
      <c r="F127" s="8" t="s">
        <v>233</v>
      </c>
      <c r="G127" s="8"/>
      <c r="H127" s="22">
        <v>6000</v>
      </c>
    </row>
    <row r="128" spans="1:8" ht="18" x14ac:dyDescent="0.35">
      <c r="A128" s="11"/>
      <c r="B128" s="12"/>
      <c r="C128" s="12"/>
      <c r="D128" s="12"/>
      <c r="E128" s="12"/>
      <c r="F128" s="12"/>
      <c r="G128" s="12"/>
      <c r="H128" s="14"/>
    </row>
    <row r="129" spans="1:8" ht="18" x14ac:dyDescent="0.35">
      <c r="A129" s="11"/>
      <c r="B129" s="12"/>
      <c r="C129" s="12"/>
      <c r="D129" s="25">
        <v>6000</v>
      </c>
      <c r="E129" s="12"/>
      <c r="F129" s="12"/>
      <c r="G129" s="12"/>
      <c r="H129" s="26">
        <v>6000</v>
      </c>
    </row>
    <row r="130" spans="1:8" ht="18.600000000000001" thickBot="1" x14ac:dyDescent="0.4">
      <c r="A130" s="17" t="s">
        <v>214</v>
      </c>
      <c r="B130" s="18" t="s">
        <v>217</v>
      </c>
      <c r="C130" s="18"/>
      <c r="D130" s="28">
        <v>6000</v>
      </c>
      <c r="E130" s="18"/>
      <c r="F130" s="18"/>
      <c r="G130" s="18"/>
      <c r="H130" s="19"/>
    </row>
    <row r="131" spans="1:8" ht="17.399999999999999" x14ac:dyDescent="0.3">
      <c r="A131" s="55" t="s">
        <v>257</v>
      </c>
      <c r="B131" s="56"/>
      <c r="C131" s="56"/>
      <c r="D131" s="56"/>
      <c r="E131" s="56"/>
      <c r="F131" s="56"/>
      <c r="G131" s="56"/>
      <c r="H131" s="56"/>
    </row>
    <row r="132" spans="1:8" ht="18" thickBot="1" x14ac:dyDescent="0.35">
      <c r="A132" s="57" t="s">
        <v>197</v>
      </c>
      <c r="B132" s="56"/>
      <c r="C132" s="56"/>
      <c r="D132" s="56"/>
      <c r="E132" s="56"/>
      <c r="F132" s="56"/>
      <c r="G132" s="56"/>
      <c r="H132" s="56"/>
    </row>
    <row r="133" spans="1:8" ht="18" thickBot="1" x14ac:dyDescent="0.35">
      <c r="A133" s="4" t="s">
        <v>24</v>
      </c>
      <c r="B133" s="5" t="s">
        <v>9</v>
      </c>
      <c r="C133" s="5" t="s">
        <v>198</v>
      </c>
      <c r="D133" s="5" t="s">
        <v>199</v>
      </c>
      <c r="E133" s="5" t="s">
        <v>24</v>
      </c>
      <c r="F133" s="5" t="s">
        <v>200</v>
      </c>
      <c r="G133" s="5" t="s">
        <v>198</v>
      </c>
      <c r="H133" s="6" t="s">
        <v>199</v>
      </c>
    </row>
    <row r="134" spans="1:8" ht="18" x14ac:dyDescent="0.35">
      <c r="A134" s="7" t="s">
        <v>207</v>
      </c>
      <c r="B134" s="8" t="s">
        <v>208</v>
      </c>
      <c r="C134" s="8"/>
      <c r="D134" s="9">
        <v>7000</v>
      </c>
      <c r="E134" s="8" t="s">
        <v>147</v>
      </c>
      <c r="F134" s="8" t="s">
        <v>246</v>
      </c>
      <c r="G134" s="8"/>
      <c r="H134" s="22">
        <v>7000</v>
      </c>
    </row>
    <row r="135" spans="1:8" ht="18" x14ac:dyDescent="0.35">
      <c r="A135" s="11"/>
      <c r="B135" s="12"/>
      <c r="C135" s="12"/>
      <c r="D135" s="12"/>
      <c r="E135" s="12"/>
      <c r="F135" s="12"/>
      <c r="G135" s="12"/>
      <c r="H135" s="14"/>
    </row>
    <row r="136" spans="1:8" ht="18" x14ac:dyDescent="0.35">
      <c r="A136" s="11"/>
      <c r="B136" s="12"/>
      <c r="C136" s="12"/>
      <c r="D136" s="25">
        <v>7000</v>
      </c>
      <c r="E136" s="12"/>
      <c r="F136" s="12"/>
      <c r="G136" s="12"/>
      <c r="H136" s="26">
        <v>7000</v>
      </c>
    </row>
    <row r="137" spans="1:8" ht="18.600000000000001" thickBot="1" x14ac:dyDescent="0.4">
      <c r="A137" s="17"/>
      <c r="B137" s="18"/>
      <c r="C137" s="18"/>
      <c r="D137" s="18"/>
      <c r="E137" s="18" t="s">
        <v>214</v>
      </c>
      <c r="F137" s="18" t="s">
        <v>215</v>
      </c>
      <c r="G137" s="18"/>
      <c r="H137" s="27">
        <v>7000</v>
      </c>
    </row>
    <row r="138" spans="1:8" ht="17.399999999999999" x14ac:dyDescent="0.3">
      <c r="A138" s="55" t="s">
        <v>258</v>
      </c>
      <c r="B138" s="56"/>
      <c r="C138" s="56"/>
      <c r="D138" s="56"/>
      <c r="E138" s="56"/>
      <c r="F138" s="56"/>
      <c r="G138" s="56"/>
      <c r="H138" s="56"/>
    </row>
    <row r="139" spans="1:8" ht="18" thickBot="1" x14ac:dyDescent="0.35">
      <c r="A139" s="57" t="s">
        <v>197</v>
      </c>
      <c r="B139" s="56"/>
      <c r="C139" s="56"/>
      <c r="D139" s="56"/>
      <c r="E139" s="56"/>
      <c r="F139" s="56"/>
      <c r="G139" s="56"/>
      <c r="H139" s="56"/>
    </row>
    <row r="140" spans="1:8" ht="18" thickBot="1" x14ac:dyDescent="0.35">
      <c r="A140" s="4" t="s">
        <v>24</v>
      </c>
      <c r="B140" s="5" t="s">
        <v>9</v>
      </c>
      <c r="C140" s="5" t="s">
        <v>198</v>
      </c>
      <c r="D140" s="5" t="s">
        <v>199</v>
      </c>
      <c r="E140" s="5" t="s">
        <v>24</v>
      </c>
      <c r="F140" s="5" t="s">
        <v>200</v>
      </c>
      <c r="G140" s="5" t="s">
        <v>198</v>
      </c>
      <c r="H140" s="6" t="s">
        <v>199</v>
      </c>
    </row>
    <row r="141" spans="1:8" ht="18" x14ac:dyDescent="0.35">
      <c r="A141" s="7" t="s">
        <v>150</v>
      </c>
      <c r="B141" s="8" t="s">
        <v>235</v>
      </c>
      <c r="C141" s="8"/>
      <c r="D141" s="9">
        <v>18000</v>
      </c>
      <c r="E141" s="8" t="s">
        <v>207</v>
      </c>
      <c r="F141" s="8" t="s">
        <v>233</v>
      </c>
      <c r="G141" s="8"/>
      <c r="H141" s="22">
        <v>18000</v>
      </c>
    </row>
    <row r="142" spans="1:8" ht="18" x14ac:dyDescent="0.35">
      <c r="A142" s="11"/>
      <c r="B142" s="12"/>
      <c r="C142" s="12"/>
      <c r="D142" s="12"/>
      <c r="E142" s="12"/>
      <c r="F142" s="12"/>
      <c r="G142" s="12"/>
      <c r="H142" s="14"/>
    </row>
    <row r="143" spans="1:8" ht="18" x14ac:dyDescent="0.35">
      <c r="A143" s="11"/>
      <c r="B143" s="12"/>
      <c r="C143" s="12"/>
      <c r="D143" s="25">
        <v>18000</v>
      </c>
      <c r="E143" s="12"/>
      <c r="F143" s="12"/>
      <c r="G143" s="12"/>
      <c r="H143" s="26">
        <v>18000</v>
      </c>
    </row>
    <row r="144" spans="1:8" ht="18.600000000000001" thickBot="1" x14ac:dyDescent="0.4">
      <c r="A144" s="17" t="s">
        <v>214</v>
      </c>
      <c r="B144" s="18" t="s">
        <v>217</v>
      </c>
      <c r="C144" s="18"/>
      <c r="D144" s="28">
        <v>18000</v>
      </c>
      <c r="E144" s="18"/>
      <c r="F144" s="18"/>
      <c r="G144" s="18"/>
      <c r="H144" s="19"/>
    </row>
    <row r="145" spans="1:8" ht="17.399999999999999" x14ac:dyDescent="0.3">
      <c r="A145" s="55" t="s">
        <v>259</v>
      </c>
      <c r="B145" s="56"/>
      <c r="C145" s="56"/>
      <c r="D145" s="56"/>
      <c r="E145" s="56"/>
      <c r="F145" s="56"/>
      <c r="G145" s="56"/>
      <c r="H145" s="56"/>
    </row>
    <row r="146" spans="1:8" ht="18" thickBot="1" x14ac:dyDescent="0.35">
      <c r="A146" s="57" t="s">
        <v>197</v>
      </c>
      <c r="B146" s="56"/>
      <c r="C146" s="56"/>
      <c r="D146" s="56"/>
      <c r="E146" s="56"/>
      <c r="F146" s="56"/>
      <c r="G146" s="56"/>
      <c r="H146" s="56"/>
    </row>
    <row r="147" spans="1:8" ht="18" thickBot="1" x14ac:dyDescent="0.35">
      <c r="A147" s="4" t="s">
        <v>24</v>
      </c>
      <c r="B147" s="5" t="s">
        <v>9</v>
      </c>
      <c r="C147" s="5" t="s">
        <v>198</v>
      </c>
      <c r="D147" s="5" t="s">
        <v>199</v>
      </c>
      <c r="E147" s="5" t="s">
        <v>24</v>
      </c>
      <c r="F147" s="5" t="s">
        <v>200</v>
      </c>
      <c r="G147" s="5" t="s">
        <v>198</v>
      </c>
      <c r="H147" s="6" t="s">
        <v>199</v>
      </c>
    </row>
    <row r="148" spans="1:8" ht="18" x14ac:dyDescent="0.35">
      <c r="A148" s="7" t="s">
        <v>207</v>
      </c>
      <c r="B148" s="8" t="s">
        <v>208</v>
      </c>
      <c r="C148" s="8"/>
      <c r="D148" s="9">
        <v>125000</v>
      </c>
      <c r="E148" s="8" t="s">
        <v>97</v>
      </c>
      <c r="F148" s="8" t="s">
        <v>233</v>
      </c>
      <c r="G148" s="8"/>
      <c r="H148" s="22">
        <v>40000</v>
      </c>
    </row>
    <row r="149" spans="1:8" ht="18" x14ac:dyDescent="0.35">
      <c r="A149" s="11"/>
      <c r="B149" s="12"/>
      <c r="C149" s="12"/>
      <c r="D149" s="12"/>
      <c r="E149" s="12" t="s">
        <v>153</v>
      </c>
      <c r="F149" s="12" t="s">
        <v>218</v>
      </c>
      <c r="G149" s="12"/>
      <c r="H149" s="16">
        <v>85000</v>
      </c>
    </row>
    <row r="150" spans="1:8" ht="18" x14ac:dyDescent="0.35">
      <c r="A150" s="11"/>
      <c r="B150" s="12"/>
      <c r="C150" s="12"/>
      <c r="D150" s="25">
        <v>125000</v>
      </c>
      <c r="E150" s="12"/>
      <c r="F150" s="12"/>
      <c r="G150" s="12"/>
      <c r="H150" s="26">
        <v>125000</v>
      </c>
    </row>
    <row r="151" spans="1:8" ht="18.600000000000001" thickBot="1" x14ac:dyDescent="0.4">
      <c r="A151" s="17"/>
      <c r="B151" s="18"/>
      <c r="C151" s="18"/>
      <c r="D151" s="18"/>
      <c r="E151" s="18" t="s">
        <v>214</v>
      </c>
      <c r="F151" s="18" t="s">
        <v>215</v>
      </c>
      <c r="G151" s="18"/>
      <c r="H151" s="27">
        <v>125000</v>
      </c>
    </row>
    <row r="152" spans="1:8" ht="17.399999999999999" x14ac:dyDescent="0.3">
      <c r="A152" s="55" t="s">
        <v>260</v>
      </c>
      <c r="B152" s="56"/>
      <c r="C152" s="56"/>
      <c r="D152" s="56"/>
      <c r="E152" s="56"/>
      <c r="F152" s="56"/>
      <c r="G152" s="56"/>
      <c r="H152" s="56"/>
    </row>
    <row r="153" spans="1:8" ht="18" thickBot="1" x14ac:dyDescent="0.35">
      <c r="A153" s="57" t="s">
        <v>197</v>
      </c>
      <c r="B153" s="56"/>
      <c r="C153" s="56"/>
      <c r="D153" s="56"/>
      <c r="E153" s="56"/>
      <c r="F153" s="56"/>
      <c r="G153" s="56"/>
      <c r="H153" s="56"/>
    </row>
    <row r="154" spans="1:8" ht="18" thickBot="1" x14ac:dyDescent="0.35">
      <c r="A154" s="4" t="s">
        <v>24</v>
      </c>
      <c r="B154" s="5" t="s">
        <v>9</v>
      </c>
      <c r="C154" s="5" t="s">
        <v>198</v>
      </c>
      <c r="D154" s="5" t="s">
        <v>199</v>
      </c>
      <c r="E154" s="5" t="s">
        <v>24</v>
      </c>
      <c r="F154" s="5" t="s">
        <v>200</v>
      </c>
      <c r="G154" s="5" t="s">
        <v>198</v>
      </c>
      <c r="H154" s="6" t="s">
        <v>199</v>
      </c>
    </row>
    <row r="155" spans="1:8" ht="18" x14ac:dyDescent="0.35">
      <c r="A155" s="7" t="s">
        <v>97</v>
      </c>
      <c r="B155" s="8" t="s">
        <v>217</v>
      </c>
      <c r="C155" s="21"/>
      <c r="D155" s="9">
        <v>45000</v>
      </c>
      <c r="E155" s="8" t="s">
        <v>157</v>
      </c>
      <c r="F155" s="8" t="s">
        <v>204</v>
      </c>
      <c r="G155" s="21"/>
      <c r="H155" s="22">
        <v>110000</v>
      </c>
    </row>
    <row r="156" spans="1:8" ht="18" x14ac:dyDescent="0.35">
      <c r="A156" s="11" t="s">
        <v>155</v>
      </c>
      <c r="B156" s="12" t="s">
        <v>219</v>
      </c>
      <c r="C156" s="12"/>
      <c r="D156" s="13">
        <v>120000</v>
      </c>
      <c r="E156" s="12" t="s">
        <v>207</v>
      </c>
      <c r="F156" s="12" t="s">
        <v>233</v>
      </c>
      <c r="G156" s="12"/>
      <c r="H156" s="16">
        <v>55000</v>
      </c>
    </row>
    <row r="157" spans="1:8" x14ac:dyDescent="0.3">
      <c r="A157" s="23"/>
      <c r="B157" s="24"/>
      <c r="C157" s="24"/>
      <c r="D157" s="24"/>
      <c r="E157" s="24"/>
      <c r="F157" s="24"/>
      <c r="G157" s="24"/>
      <c r="H157" s="29"/>
    </row>
    <row r="158" spans="1:8" ht="18" x14ac:dyDescent="0.35">
      <c r="A158" s="11"/>
      <c r="B158" s="12"/>
      <c r="C158" s="12"/>
      <c r="D158" s="25">
        <v>165000</v>
      </c>
      <c r="E158" s="12"/>
      <c r="F158" s="12"/>
      <c r="G158" s="12"/>
      <c r="H158" s="26">
        <v>165000</v>
      </c>
    </row>
    <row r="159" spans="1:8" ht="18.600000000000001" thickBot="1" x14ac:dyDescent="0.4">
      <c r="A159" s="17" t="s">
        <v>214</v>
      </c>
      <c r="B159" s="18" t="s">
        <v>217</v>
      </c>
      <c r="C159" s="18"/>
      <c r="D159" s="28">
        <v>55000</v>
      </c>
      <c r="E159" s="18"/>
      <c r="F159" s="18"/>
      <c r="G159" s="18"/>
      <c r="H159" s="19"/>
    </row>
    <row r="160" spans="1:8" ht="17.399999999999999" x14ac:dyDescent="0.3">
      <c r="A160" s="55" t="s">
        <v>261</v>
      </c>
      <c r="B160" s="56"/>
      <c r="C160" s="56"/>
      <c r="D160" s="56"/>
      <c r="E160" s="56"/>
      <c r="F160" s="56"/>
      <c r="G160" s="56"/>
      <c r="H160" s="56"/>
    </row>
    <row r="161" spans="1:8" ht="18" thickBot="1" x14ac:dyDescent="0.35">
      <c r="A161" s="57" t="s">
        <v>197</v>
      </c>
      <c r="B161" s="56"/>
      <c r="C161" s="56"/>
      <c r="D161" s="56"/>
      <c r="E161" s="56"/>
      <c r="F161" s="56"/>
      <c r="G161" s="56"/>
      <c r="H161" s="56"/>
    </row>
    <row r="162" spans="1:8" ht="18" thickBot="1" x14ac:dyDescent="0.35">
      <c r="A162" s="4" t="s">
        <v>24</v>
      </c>
      <c r="B162" s="5" t="s">
        <v>9</v>
      </c>
      <c r="C162" s="5" t="s">
        <v>198</v>
      </c>
      <c r="D162" s="5" t="s">
        <v>199</v>
      </c>
      <c r="E162" s="5" t="s">
        <v>24</v>
      </c>
      <c r="F162" s="5" t="s">
        <v>200</v>
      </c>
      <c r="G162" s="5" t="s">
        <v>198</v>
      </c>
      <c r="H162" s="6" t="s">
        <v>199</v>
      </c>
    </row>
    <row r="163" spans="1:8" ht="18" x14ac:dyDescent="0.35">
      <c r="A163" s="7" t="s">
        <v>160</v>
      </c>
      <c r="B163" s="8" t="s">
        <v>235</v>
      </c>
      <c r="C163" s="8"/>
      <c r="D163" s="9">
        <v>5500</v>
      </c>
      <c r="E163" s="8" t="s">
        <v>207</v>
      </c>
      <c r="F163" s="8" t="s">
        <v>233</v>
      </c>
      <c r="G163" s="8"/>
      <c r="H163" s="22">
        <v>5500</v>
      </c>
    </row>
    <row r="164" spans="1:8" ht="18" x14ac:dyDescent="0.35">
      <c r="A164" s="11"/>
      <c r="B164" s="12"/>
      <c r="C164" s="12"/>
      <c r="D164" s="12"/>
      <c r="E164" s="12"/>
      <c r="F164" s="12"/>
      <c r="G164" s="12"/>
      <c r="H164" s="14"/>
    </row>
    <row r="165" spans="1:8" ht="18" x14ac:dyDescent="0.35">
      <c r="A165" s="11"/>
      <c r="B165" s="12"/>
      <c r="C165" s="12"/>
      <c r="D165" s="25">
        <v>5500</v>
      </c>
      <c r="E165" s="12"/>
      <c r="F165" s="12"/>
      <c r="G165" s="12"/>
      <c r="H165" s="26">
        <v>5500</v>
      </c>
    </row>
    <row r="166" spans="1:8" ht="18.600000000000001" thickBot="1" x14ac:dyDescent="0.4">
      <c r="A166" s="17" t="s">
        <v>214</v>
      </c>
      <c r="B166" s="18" t="s">
        <v>217</v>
      </c>
      <c r="C166" s="18"/>
      <c r="D166" s="28">
        <v>5500</v>
      </c>
      <c r="E166" s="18"/>
      <c r="F166" s="18"/>
      <c r="G166" s="18"/>
      <c r="H166" s="19"/>
    </row>
    <row r="167" spans="1:8" ht="17.399999999999999" x14ac:dyDescent="0.3">
      <c r="A167" s="55" t="s">
        <v>262</v>
      </c>
      <c r="B167" s="56"/>
      <c r="C167" s="56"/>
      <c r="D167" s="56"/>
      <c r="E167" s="56"/>
      <c r="F167" s="56"/>
      <c r="G167" s="56"/>
      <c r="H167" s="56"/>
    </row>
    <row r="168" spans="1:8" ht="18" thickBot="1" x14ac:dyDescent="0.35">
      <c r="A168" s="57" t="s">
        <v>197</v>
      </c>
      <c r="B168" s="56"/>
      <c r="C168" s="56"/>
      <c r="D168" s="56"/>
      <c r="E168" s="56"/>
      <c r="F168" s="56"/>
      <c r="G168" s="56"/>
      <c r="H168" s="56"/>
    </row>
    <row r="169" spans="1:8" ht="18" thickBot="1" x14ac:dyDescent="0.35">
      <c r="A169" s="4" t="s">
        <v>24</v>
      </c>
      <c r="B169" s="5" t="s">
        <v>9</v>
      </c>
      <c r="C169" s="5" t="s">
        <v>198</v>
      </c>
      <c r="D169" s="5" t="s">
        <v>199</v>
      </c>
      <c r="E169" s="5" t="s">
        <v>24</v>
      </c>
      <c r="F169" s="5" t="s">
        <v>200</v>
      </c>
      <c r="G169" s="5" t="s">
        <v>198</v>
      </c>
      <c r="H169" s="6" t="s">
        <v>199</v>
      </c>
    </row>
    <row r="170" spans="1:8" ht="18" x14ac:dyDescent="0.35">
      <c r="A170" s="7" t="s">
        <v>207</v>
      </c>
      <c r="B170" s="8" t="s">
        <v>208</v>
      </c>
      <c r="C170" s="8"/>
      <c r="D170" s="9">
        <v>9000</v>
      </c>
      <c r="E170" s="8" t="s">
        <v>163</v>
      </c>
      <c r="F170" s="8" t="s">
        <v>202</v>
      </c>
      <c r="G170" s="8"/>
      <c r="H170" s="22">
        <v>9000</v>
      </c>
    </row>
    <row r="171" spans="1:8" ht="18" x14ac:dyDescent="0.35">
      <c r="A171" s="11"/>
      <c r="B171" s="12"/>
      <c r="C171" s="12"/>
      <c r="D171" s="12"/>
      <c r="E171" s="12"/>
      <c r="F171" s="12"/>
      <c r="G171" s="12"/>
      <c r="H171" s="14"/>
    </row>
    <row r="172" spans="1:8" ht="18" x14ac:dyDescent="0.35">
      <c r="A172" s="11"/>
      <c r="B172" s="12"/>
      <c r="C172" s="12"/>
      <c r="D172" s="25">
        <v>9000</v>
      </c>
      <c r="E172" s="12"/>
      <c r="F172" s="12"/>
      <c r="G172" s="12"/>
      <c r="H172" s="26">
        <v>9000</v>
      </c>
    </row>
    <row r="173" spans="1:8" ht="18.600000000000001" thickBot="1" x14ac:dyDescent="0.4">
      <c r="A173" s="17"/>
      <c r="B173" s="18"/>
      <c r="C173" s="18"/>
      <c r="D173" s="18"/>
      <c r="E173" s="18" t="s">
        <v>214</v>
      </c>
      <c r="F173" s="18" t="s">
        <v>215</v>
      </c>
      <c r="G173" s="18"/>
      <c r="H173" s="27">
        <v>9000</v>
      </c>
    </row>
    <row r="174" spans="1:8" ht="17.399999999999999" x14ac:dyDescent="0.3">
      <c r="A174" s="55" t="s">
        <v>263</v>
      </c>
      <c r="B174" s="56"/>
      <c r="C174" s="56"/>
      <c r="D174" s="56"/>
      <c r="E174" s="56"/>
      <c r="F174" s="56"/>
      <c r="G174" s="56"/>
      <c r="H174" s="56"/>
    </row>
    <row r="175" spans="1:8" ht="18" thickBot="1" x14ac:dyDescent="0.35">
      <c r="A175" s="57" t="s">
        <v>197</v>
      </c>
      <c r="B175" s="56"/>
      <c r="C175" s="56"/>
      <c r="D175" s="56"/>
      <c r="E175" s="56"/>
      <c r="F175" s="56"/>
      <c r="G175" s="56"/>
      <c r="H175" s="56"/>
    </row>
    <row r="176" spans="1:8" ht="18" thickBot="1" x14ac:dyDescent="0.35">
      <c r="A176" s="4" t="s">
        <v>24</v>
      </c>
      <c r="B176" s="5" t="s">
        <v>9</v>
      </c>
      <c r="C176" s="5" t="s">
        <v>198</v>
      </c>
      <c r="D176" s="5" t="s">
        <v>199</v>
      </c>
      <c r="E176" s="5" t="s">
        <v>24</v>
      </c>
      <c r="F176" s="5" t="s">
        <v>200</v>
      </c>
      <c r="G176" s="5" t="s">
        <v>198</v>
      </c>
      <c r="H176" s="6" t="s">
        <v>199</v>
      </c>
    </row>
    <row r="177" spans="1:8" ht="18" x14ac:dyDescent="0.35">
      <c r="A177" s="7" t="s">
        <v>168</v>
      </c>
      <c r="B177" s="8" t="s">
        <v>235</v>
      </c>
      <c r="C177" s="8"/>
      <c r="D177" s="9">
        <v>12000</v>
      </c>
      <c r="E177" s="8" t="s">
        <v>207</v>
      </c>
      <c r="F177" s="8" t="s">
        <v>233</v>
      </c>
      <c r="G177" s="8"/>
      <c r="H177" s="22">
        <v>12000</v>
      </c>
    </row>
    <row r="178" spans="1:8" ht="18" x14ac:dyDescent="0.35">
      <c r="A178" s="11"/>
      <c r="B178" s="12"/>
      <c r="C178" s="12"/>
      <c r="D178" s="12"/>
      <c r="E178" s="12"/>
      <c r="F178" s="12"/>
      <c r="G178" s="12"/>
      <c r="H178" s="14"/>
    </row>
    <row r="179" spans="1:8" ht="18" x14ac:dyDescent="0.35">
      <c r="A179" s="11"/>
      <c r="B179" s="12"/>
      <c r="C179" s="12"/>
      <c r="D179" s="25">
        <v>12000</v>
      </c>
      <c r="E179" s="12"/>
      <c r="F179" s="12"/>
      <c r="G179" s="12"/>
      <c r="H179" s="26">
        <v>12000</v>
      </c>
    </row>
    <row r="180" spans="1:8" ht="18.600000000000001" thickBot="1" x14ac:dyDescent="0.4">
      <c r="A180" s="17" t="s">
        <v>214</v>
      </c>
      <c r="B180" s="18" t="s">
        <v>217</v>
      </c>
      <c r="C180" s="18"/>
      <c r="D180" s="28">
        <v>12000</v>
      </c>
      <c r="E180" s="18"/>
      <c r="F180" s="18"/>
      <c r="G180" s="18"/>
      <c r="H180" s="19"/>
    </row>
    <row r="181" spans="1:8" ht="17.399999999999999" x14ac:dyDescent="0.3">
      <c r="A181" s="55" t="s">
        <v>264</v>
      </c>
      <c r="B181" s="56"/>
      <c r="C181" s="56"/>
      <c r="D181" s="56"/>
      <c r="E181" s="56"/>
      <c r="F181" s="56"/>
      <c r="G181" s="56"/>
      <c r="H181" s="56"/>
    </row>
    <row r="182" spans="1:8" ht="18" thickBot="1" x14ac:dyDescent="0.35">
      <c r="A182" s="57" t="s">
        <v>197</v>
      </c>
      <c r="B182" s="56"/>
      <c r="C182" s="56"/>
      <c r="D182" s="56"/>
      <c r="E182" s="56"/>
      <c r="F182" s="56"/>
      <c r="G182" s="56"/>
      <c r="H182" s="56"/>
    </row>
    <row r="183" spans="1:8" ht="18" thickBot="1" x14ac:dyDescent="0.35">
      <c r="A183" s="4" t="s">
        <v>24</v>
      </c>
      <c r="B183" s="5" t="s">
        <v>9</v>
      </c>
      <c r="C183" s="5" t="s">
        <v>198</v>
      </c>
      <c r="D183" s="5" t="s">
        <v>199</v>
      </c>
      <c r="E183" s="5" t="s">
        <v>24</v>
      </c>
      <c r="F183" s="5" t="s">
        <v>200</v>
      </c>
      <c r="G183" s="5" t="s">
        <v>198</v>
      </c>
      <c r="H183" s="6" t="s">
        <v>199</v>
      </c>
    </row>
    <row r="184" spans="1:8" ht="18" x14ac:dyDescent="0.35">
      <c r="A184" s="7" t="s">
        <v>171</v>
      </c>
      <c r="B184" s="8" t="s">
        <v>225</v>
      </c>
      <c r="C184" s="8"/>
      <c r="D184" s="9">
        <v>6000</v>
      </c>
      <c r="E184" s="8" t="s">
        <v>207</v>
      </c>
      <c r="F184" s="8" t="s">
        <v>233</v>
      </c>
      <c r="G184" s="8"/>
      <c r="H184" s="22">
        <v>6000</v>
      </c>
    </row>
    <row r="185" spans="1:8" ht="18" x14ac:dyDescent="0.35">
      <c r="A185" s="11"/>
      <c r="B185" s="12"/>
      <c r="C185" s="12"/>
      <c r="D185" s="12"/>
      <c r="E185" s="12"/>
      <c r="F185" s="12"/>
      <c r="G185" s="12"/>
      <c r="H185" s="14"/>
    </row>
    <row r="186" spans="1:8" ht="18" x14ac:dyDescent="0.35">
      <c r="A186" s="11"/>
      <c r="B186" s="12"/>
      <c r="C186" s="12"/>
      <c r="D186" s="25">
        <v>6000</v>
      </c>
      <c r="E186" s="12"/>
      <c r="F186" s="12"/>
      <c r="G186" s="12"/>
      <c r="H186" s="26">
        <v>6000</v>
      </c>
    </row>
    <row r="187" spans="1:8" ht="18.600000000000001" thickBot="1" x14ac:dyDescent="0.4">
      <c r="A187" s="17" t="s">
        <v>214</v>
      </c>
      <c r="B187" s="18" t="s">
        <v>217</v>
      </c>
      <c r="C187" s="18"/>
      <c r="D187" s="28">
        <v>6000</v>
      </c>
      <c r="E187" s="18"/>
      <c r="F187" s="18"/>
      <c r="G187" s="18"/>
      <c r="H187" s="19"/>
    </row>
    <row r="188" spans="1:8" ht="17.399999999999999" x14ac:dyDescent="0.3">
      <c r="A188" s="55" t="s">
        <v>265</v>
      </c>
      <c r="B188" s="56"/>
      <c r="C188" s="56"/>
      <c r="D188" s="56"/>
      <c r="E188" s="56"/>
      <c r="F188" s="56"/>
      <c r="G188" s="56"/>
      <c r="H188" s="56"/>
    </row>
    <row r="189" spans="1:8" ht="18" thickBot="1" x14ac:dyDescent="0.35">
      <c r="A189" s="57" t="s">
        <v>197</v>
      </c>
      <c r="B189" s="56"/>
      <c r="C189" s="56"/>
      <c r="D189" s="56"/>
      <c r="E189" s="56"/>
      <c r="F189" s="56"/>
      <c r="G189" s="56"/>
      <c r="H189" s="56"/>
    </row>
    <row r="190" spans="1:8" ht="18" thickBot="1" x14ac:dyDescent="0.35">
      <c r="A190" s="4" t="s">
        <v>24</v>
      </c>
      <c r="B190" s="5" t="s">
        <v>9</v>
      </c>
      <c r="C190" s="5" t="s">
        <v>198</v>
      </c>
      <c r="D190" s="5" t="s">
        <v>199</v>
      </c>
      <c r="E190" s="5" t="s">
        <v>24</v>
      </c>
      <c r="F190" s="5" t="s">
        <v>200</v>
      </c>
      <c r="G190" s="5" t="s">
        <v>198</v>
      </c>
      <c r="H190" s="6" t="s">
        <v>199</v>
      </c>
    </row>
    <row r="191" spans="1:8" ht="18" x14ac:dyDescent="0.35">
      <c r="A191" s="7" t="s">
        <v>174</v>
      </c>
      <c r="B191" s="8" t="s">
        <v>235</v>
      </c>
      <c r="C191" s="8"/>
      <c r="D191" s="9">
        <v>4000</v>
      </c>
      <c r="E191" s="8" t="s">
        <v>207</v>
      </c>
      <c r="F191" s="8" t="s">
        <v>233</v>
      </c>
      <c r="G191" s="8"/>
      <c r="H191" s="22">
        <v>4000</v>
      </c>
    </row>
    <row r="192" spans="1:8" ht="18" x14ac:dyDescent="0.35">
      <c r="A192" s="11"/>
      <c r="B192" s="12"/>
      <c r="C192" s="12"/>
      <c r="D192" s="12"/>
      <c r="E192" s="12"/>
      <c r="F192" s="12"/>
      <c r="G192" s="12"/>
      <c r="H192" s="14"/>
    </row>
    <row r="193" spans="1:8" ht="18" x14ac:dyDescent="0.35">
      <c r="A193" s="11"/>
      <c r="B193" s="12"/>
      <c r="C193" s="12"/>
      <c r="D193" s="25">
        <v>4000</v>
      </c>
      <c r="E193" s="12"/>
      <c r="F193" s="12"/>
      <c r="G193" s="12"/>
      <c r="H193" s="26">
        <v>4000</v>
      </c>
    </row>
    <row r="194" spans="1:8" ht="18.600000000000001" thickBot="1" x14ac:dyDescent="0.4">
      <c r="A194" s="17" t="s">
        <v>214</v>
      </c>
      <c r="B194" s="18" t="s">
        <v>217</v>
      </c>
      <c r="C194" s="18"/>
      <c r="D194" s="28">
        <v>4000</v>
      </c>
      <c r="E194" s="18"/>
      <c r="F194" s="18"/>
      <c r="G194" s="18"/>
      <c r="H194" s="19"/>
    </row>
    <row r="195" spans="1:8" ht="17.399999999999999" x14ac:dyDescent="0.3">
      <c r="A195" s="55" t="s">
        <v>266</v>
      </c>
      <c r="B195" s="56"/>
      <c r="C195" s="56"/>
      <c r="D195" s="56"/>
      <c r="E195" s="56"/>
      <c r="F195" s="56"/>
      <c r="G195" s="56"/>
      <c r="H195" s="56"/>
    </row>
    <row r="196" spans="1:8" ht="18" thickBot="1" x14ac:dyDescent="0.35">
      <c r="A196" s="57" t="s">
        <v>197</v>
      </c>
      <c r="B196" s="56"/>
      <c r="C196" s="56"/>
      <c r="D196" s="56"/>
      <c r="E196" s="56"/>
      <c r="F196" s="56"/>
      <c r="G196" s="56"/>
      <c r="H196" s="56"/>
    </row>
    <row r="197" spans="1:8" ht="18" thickBot="1" x14ac:dyDescent="0.35">
      <c r="A197" s="4" t="s">
        <v>24</v>
      </c>
      <c r="B197" s="5" t="s">
        <v>9</v>
      </c>
      <c r="C197" s="5" t="s">
        <v>198</v>
      </c>
      <c r="D197" s="5" t="s">
        <v>199</v>
      </c>
      <c r="E197" s="5" t="s">
        <v>24</v>
      </c>
      <c r="F197" s="5" t="s">
        <v>200</v>
      </c>
      <c r="G197" s="5" t="s">
        <v>198</v>
      </c>
      <c r="H197" s="6" t="s">
        <v>199</v>
      </c>
    </row>
    <row r="198" spans="1:8" ht="18" x14ac:dyDescent="0.35">
      <c r="A198" s="7" t="s">
        <v>207</v>
      </c>
      <c r="B198" s="8" t="s">
        <v>208</v>
      </c>
      <c r="C198" s="8"/>
      <c r="D198" s="9">
        <v>3000</v>
      </c>
      <c r="E198" s="8" t="s">
        <v>177</v>
      </c>
      <c r="F198" s="8" t="s">
        <v>204</v>
      </c>
      <c r="G198" s="8"/>
      <c r="H198" s="22">
        <v>3000</v>
      </c>
    </row>
    <row r="199" spans="1:8" ht="18" x14ac:dyDescent="0.35">
      <c r="A199" s="11"/>
      <c r="B199" s="12"/>
      <c r="C199" s="12"/>
      <c r="D199" s="12"/>
      <c r="E199" s="12"/>
      <c r="F199" s="12"/>
      <c r="G199" s="12"/>
      <c r="H199" s="14"/>
    </row>
    <row r="200" spans="1:8" ht="18" x14ac:dyDescent="0.35">
      <c r="A200" s="11"/>
      <c r="B200" s="12"/>
      <c r="C200" s="12"/>
      <c r="D200" s="25">
        <v>3000</v>
      </c>
      <c r="E200" s="12"/>
      <c r="F200" s="12"/>
      <c r="G200" s="12"/>
      <c r="H200" s="26">
        <v>3000</v>
      </c>
    </row>
    <row r="201" spans="1:8" ht="18.600000000000001" thickBot="1" x14ac:dyDescent="0.4">
      <c r="A201" s="17"/>
      <c r="B201" s="18"/>
      <c r="C201" s="18"/>
      <c r="D201" s="18"/>
      <c r="E201" s="18" t="s">
        <v>214</v>
      </c>
      <c r="F201" s="18" t="s">
        <v>215</v>
      </c>
      <c r="G201" s="18"/>
      <c r="H201" s="27">
        <v>3000</v>
      </c>
    </row>
    <row r="202" spans="1:8" ht="17.399999999999999" x14ac:dyDescent="0.3">
      <c r="A202" s="55" t="s">
        <v>267</v>
      </c>
      <c r="B202" s="56"/>
      <c r="C202" s="56"/>
      <c r="D202" s="56"/>
      <c r="E202" s="56"/>
      <c r="F202" s="56"/>
      <c r="G202" s="56"/>
      <c r="H202" s="56"/>
    </row>
    <row r="203" spans="1:8" ht="18" thickBot="1" x14ac:dyDescent="0.35">
      <c r="A203" s="57" t="s">
        <v>197</v>
      </c>
      <c r="B203" s="56"/>
      <c r="C203" s="56"/>
      <c r="D203" s="56"/>
      <c r="E203" s="56"/>
      <c r="F203" s="56"/>
      <c r="G203" s="56"/>
      <c r="H203" s="56"/>
    </row>
    <row r="204" spans="1:8" ht="18" thickBot="1" x14ac:dyDescent="0.35">
      <c r="A204" s="4" t="s">
        <v>24</v>
      </c>
      <c r="B204" s="5" t="s">
        <v>9</v>
      </c>
      <c r="C204" s="5" t="s">
        <v>198</v>
      </c>
      <c r="D204" s="5" t="s">
        <v>199</v>
      </c>
      <c r="E204" s="5" t="s">
        <v>24</v>
      </c>
      <c r="F204" s="5" t="s">
        <v>200</v>
      </c>
      <c r="G204" s="5" t="s">
        <v>198</v>
      </c>
      <c r="H204" s="6" t="s">
        <v>199</v>
      </c>
    </row>
    <row r="205" spans="1:8" ht="18" x14ac:dyDescent="0.35">
      <c r="A205" s="7" t="s">
        <v>181</v>
      </c>
      <c r="B205" s="8" t="s">
        <v>235</v>
      </c>
      <c r="C205" s="8"/>
      <c r="D205" s="9">
        <v>8500</v>
      </c>
      <c r="E205" s="8" t="s">
        <v>207</v>
      </c>
      <c r="F205" s="8" t="s">
        <v>233</v>
      </c>
      <c r="G205" s="8"/>
      <c r="H205" s="22">
        <v>8500</v>
      </c>
    </row>
    <row r="206" spans="1:8" ht="18" x14ac:dyDescent="0.35">
      <c r="A206" s="11"/>
      <c r="B206" s="12"/>
      <c r="C206" s="12"/>
      <c r="D206" s="12"/>
      <c r="E206" s="12"/>
      <c r="F206" s="12"/>
      <c r="G206" s="12"/>
      <c r="H206" s="14"/>
    </row>
    <row r="207" spans="1:8" ht="18" x14ac:dyDescent="0.35">
      <c r="A207" s="11"/>
      <c r="B207" s="12"/>
      <c r="C207" s="12"/>
      <c r="D207" s="25">
        <v>8500</v>
      </c>
      <c r="E207" s="12"/>
      <c r="F207" s="12"/>
      <c r="G207" s="12"/>
      <c r="H207" s="26">
        <v>8500</v>
      </c>
    </row>
    <row r="208" spans="1:8" ht="18.600000000000001" thickBot="1" x14ac:dyDescent="0.4">
      <c r="A208" s="17" t="s">
        <v>214</v>
      </c>
      <c r="B208" s="18" t="s">
        <v>217</v>
      </c>
      <c r="C208" s="18"/>
      <c r="D208" s="28">
        <v>8500</v>
      </c>
      <c r="E208" s="18"/>
      <c r="F208" s="18"/>
      <c r="G208" s="18"/>
      <c r="H208" s="19"/>
    </row>
    <row r="209" spans="1:8" ht="17.399999999999999" x14ac:dyDescent="0.3">
      <c r="A209" s="55" t="s">
        <v>268</v>
      </c>
      <c r="B209" s="56"/>
      <c r="C209" s="56"/>
      <c r="D209" s="56"/>
      <c r="E209" s="56"/>
      <c r="F209" s="56"/>
      <c r="G209" s="56"/>
      <c r="H209" s="56"/>
    </row>
    <row r="210" spans="1:8" ht="18" thickBot="1" x14ac:dyDescent="0.35">
      <c r="A210" s="57" t="s">
        <v>197</v>
      </c>
      <c r="B210" s="56"/>
      <c r="C210" s="56"/>
      <c r="D210" s="56"/>
      <c r="E210" s="56"/>
      <c r="F210" s="56"/>
      <c r="G210" s="56"/>
      <c r="H210" s="56"/>
    </row>
    <row r="211" spans="1:8" ht="18" thickBot="1" x14ac:dyDescent="0.35">
      <c r="A211" s="4" t="s">
        <v>24</v>
      </c>
      <c r="B211" s="5" t="s">
        <v>9</v>
      </c>
      <c r="C211" s="5" t="s">
        <v>198</v>
      </c>
      <c r="D211" s="5" t="s">
        <v>199</v>
      </c>
      <c r="E211" s="5" t="s">
        <v>24</v>
      </c>
      <c r="F211" s="5" t="s">
        <v>200</v>
      </c>
      <c r="G211" s="5" t="s">
        <v>198</v>
      </c>
      <c r="H211" s="6" t="s">
        <v>199</v>
      </c>
    </row>
    <row r="212" spans="1:8" ht="18" x14ac:dyDescent="0.35">
      <c r="A212" s="7" t="s">
        <v>184</v>
      </c>
      <c r="B212" s="8" t="s">
        <v>235</v>
      </c>
      <c r="C212" s="8"/>
      <c r="D212" s="9">
        <v>2500</v>
      </c>
      <c r="E212" s="8" t="s">
        <v>207</v>
      </c>
      <c r="F212" s="8" t="s">
        <v>233</v>
      </c>
      <c r="G212" s="8"/>
      <c r="H212" s="22">
        <v>2500</v>
      </c>
    </row>
    <row r="213" spans="1:8" ht="18" x14ac:dyDescent="0.35">
      <c r="A213" s="11"/>
      <c r="B213" s="12"/>
      <c r="C213" s="12"/>
      <c r="D213" s="12"/>
      <c r="E213" s="12"/>
      <c r="F213" s="12"/>
      <c r="G213" s="12"/>
      <c r="H213" s="14"/>
    </row>
    <row r="214" spans="1:8" ht="18" x14ac:dyDescent="0.35">
      <c r="A214" s="11"/>
      <c r="B214" s="12"/>
      <c r="C214" s="12"/>
      <c r="D214" s="25">
        <v>2500</v>
      </c>
      <c r="E214" s="12"/>
      <c r="F214" s="12"/>
      <c r="G214" s="12"/>
      <c r="H214" s="26">
        <v>2500</v>
      </c>
    </row>
    <row r="215" spans="1:8" ht="18.600000000000001" thickBot="1" x14ac:dyDescent="0.4">
      <c r="A215" s="17" t="s">
        <v>214</v>
      </c>
      <c r="B215" s="18" t="s">
        <v>217</v>
      </c>
      <c r="C215" s="18"/>
      <c r="D215" s="28">
        <v>2500</v>
      </c>
      <c r="E215" s="18"/>
      <c r="F215" s="18"/>
      <c r="G215" s="18"/>
      <c r="H215" s="19"/>
    </row>
    <row r="216" spans="1:8" ht="17.399999999999999" x14ac:dyDescent="0.3">
      <c r="A216" s="55" t="s">
        <v>269</v>
      </c>
      <c r="B216" s="56"/>
      <c r="C216" s="56"/>
      <c r="D216" s="56"/>
      <c r="E216" s="56"/>
      <c r="F216" s="56"/>
      <c r="G216" s="56"/>
      <c r="H216" s="56"/>
    </row>
    <row r="217" spans="1:8" ht="18" thickBot="1" x14ac:dyDescent="0.35">
      <c r="A217" s="57" t="s">
        <v>197</v>
      </c>
      <c r="B217" s="56"/>
      <c r="C217" s="56"/>
      <c r="D217" s="56"/>
      <c r="E217" s="56"/>
      <c r="F217" s="56"/>
      <c r="G217" s="56"/>
      <c r="H217" s="56"/>
    </row>
    <row r="218" spans="1:8" ht="18" thickBot="1" x14ac:dyDescent="0.35">
      <c r="A218" s="4" t="s">
        <v>24</v>
      </c>
      <c r="B218" s="5" t="s">
        <v>9</v>
      </c>
      <c r="C218" s="5" t="s">
        <v>198</v>
      </c>
      <c r="D218" s="5" t="s">
        <v>199</v>
      </c>
      <c r="E218" s="5" t="s">
        <v>24</v>
      </c>
      <c r="F218" s="5" t="s">
        <v>200</v>
      </c>
      <c r="G218" s="5" t="s">
        <v>198</v>
      </c>
      <c r="H218" s="6" t="s">
        <v>199</v>
      </c>
    </row>
    <row r="219" spans="1:8" ht="18" x14ac:dyDescent="0.35">
      <c r="A219" s="7" t="s">
        <v>97</v>
      </c>
      <c r="B219" s="8" t="s">
        <v>217</v>
      </c>
      <c r="C219" s="21"/>
      <c r="D219" s="9">
        <v>60000</v>
      </c>
      <c r="E219" s="8" t="s">
        <v>207</v>
      </c>
      <c r="F219" s="8" t="s">
        <v>233</v>
      </c>
      <c r="G219" s="8"/>
      <c r="H219" s="22">
        <v>85000</v>
      </c>
    </row>
    <row r="220" spans="1:8" ht="18" x14ac:dyDescent="0.35">
      <c r="A220" s="11" t="s">
        <v>187</v>
      </c>
      <c r="B220" s="12" t="s">
        <v>235</v>
      </c>
      <c r="C220" s="12"/>
      <c r="D220" s="13">
        <v>25000</v>
      </c>
      <c r="E220" s="12"/>
      <c r="F220" s="12"/>
      <c r="G220" s="12"/>
      <c r="H220" s="14"/>
    </row>
    <row r="221" spans="1:8" ht="18" x14ac:dyDescent="0.35">
      <c r="A221" s="11"/>
      <c r="B221" s="12"/>
      <c r="C221" s="12"/>
      <c r="D221" s="25">
        <v>85000</v>
      </c>
      <c r="E221" s="12"/>
      <c r="F221" s="12"/>
      <c r="G221" s="12"/>
      <c r="H221" s="26">
        <v>85000</v>
      </c>
    </row>
    <row r="222" spans="1:8" ht="18.600000000000001" thickBot="1" x14ac:dyDescent="0.4">
      <c r="A222" s="17" t="s">
        <v>214</v>
      </c>
      <c r="B222" s="18" t="s">
        <v>217</v>
      </c>
      <c r="C222" s="18"/>
      <c r="D222" s="28">
        <v>85000</v>
      </c>
      <c r="E222" s="18"/>
      <c r="F222" s="18"/>
      <c r="G222" s="18"/>
      <c r="H222" s="19"/>
    </row>
    <row r="223" spans="1:8" ht="17.399999999999999" x14ac:dyDescent="0.3">
      <c r="A223" s="55" t="s">
        <v>270</v>
      </c>
      <c r="B223" s="56"/>
      <c r="C223" s="56"/>
      <c r="D223" s="56"/>
      <c r="E223" s="56"/>
      <c r="F223" s="56"/>
      <c r="G223" s="56"/>
      <c r="H223" s="56"/>
    </row>
    <row r="224" spans="1:8" ht="18" thickBot="1" x14ac:dyDescent="0.35">
      <c r="A224" s="57" t="s">
        <v>197</v>
      </c>
      <c r="B224" s="56"/>
      <c r="C224" s="56"/>
      <c r="D224" s="56"/>
      <c r="E224" s="56"/>
      <c r="F224" s="56"/>
      <c r="G224" s="56"/>
      <c r="H224" s="56"/>
    </row>
    <row r="225" spans="1:8" ht="18" thickBot="1" x14ac:dyDescent="0.35">
      <c r="A225" s="4" t="s">
        <v>24</v>
      </c>
      <c r="B225" s="5" t="s">
        <v>9</v>
      </c>
      <c r="C225" s="5" t="s">
        <v>198</v>
      </c>
      <c r="D225" s="5" t="s">
        <v>199</v>
      </c>
      <c r="E225" s="5" t="s">
        <v>24</v>
      </c>
      <c r="F225" s="5" t="s">
        <v>200</v>
      </c>
      <c r="G225" s="5" t="s">
        <v>198</v>
      </c>
      <c r="H225" s="6" t="s">
        <v>199</v>
      </c>
    </row>
    <row r="226" spans="1:8" ht="18" x14ac:dyDescent="0.35">
      <c r="A226" s="7" t="s">
        <v>189</v>
      </c>
      <c r="B226" s="8" t="s">
        <v>235</v>
      </c>
      <c r="C226" s="8"/>
      <c r="D226" s="9">
        <v>5000</v>
      </c>
      <c r="E226" s="8" t="s">
        <v>207</v>
      </c>
      <c r="F226" s="8" t="s">
        <v>233</v>
      </c>
      <c r="G226" s="8"/>
      <c r="H226" s="22">
        <v>5000</v>
      </c>
    </row>
    <row r="227" spans="1:8" ht="18" x14ac:dyDescent="0.35">
      <c r="A227" s="23"/>
      <c r="B227" s="24"/>
      <c r="C227" s="24"/>
      <c r="D227" s="24"/>
      <c r="E227" s="12"/>
      <c r="F227" s="12"/>
      <c r="G227" s="12"/>
      <c r="H227" s="14"/>
    </row>
    <row r="228" spans="1:8" ht="18" x14ac:dyDescent="0.35">
      <c r="A228" s="11"/>
      <c r="B228" s="12"/>
      <c r="C228" s="12"/>
      <c r="D228" s="25">
        <v>5000</v>
      </c>
      <c r="E228" s="12"/>
      <c r="F228" s="12"/>
      <c r="G228" s="12"/>
      <c r="H228" s="26">
        <v>5000</v>
      </c>
    </row>
    <row r="229" spans="1:8" ht="18.600000000000001" thickBot="1" x14ac:dyDescent="0.4">
      <c r="A229" s="17" t="s">
        <v>214</v>
      </c>
      <c r="B229" s="18" t="s">
        <v>217</v>
      </c>
      <c r="C229" s="18"/>
      <c r="D229" s="28">
        <v>5000</v>
      </c>
      <c r="E229" s="18"/>
      <c r="F229" s="18"/>
      <c r="G229" s="18"/>
      <c r="H229" s="19"/>
    </row>
    <row r="230" spans="1:8" ht="18" x14ac:dyDescent="0.35">
      <c r="A230" s="3"/>
      <c r="B230" s="3"/>
      <c r="C230" s="3"/>
      <c r="D230" s="3"/>
      <c r="E230" s="3"/>
      <c r="F230" s="3"/>
      <c r="G230" s="3"/>
      <c r="H230" s="3"/>
    </row>
    <row r="231" spans="1:8" ht="18" x14ac:dyDescent="0.35">
      <c r="A231" s="3"/>
      <c r="B231" s="3"/>
      <c r="C231" s="3"/>
      <c r="D231" s="3"/>
      <c r="E231" s="3"/>
      <c r="F231" s="3"/>
      <c r="G231" s="3"/>
      <c r="H231" s="3"/>
    </row>
    <row r="232" spans="1:8" ht="18" x14ac:dyDescent="0.35">
      <c r="A232" s="3"/>
      <c r="B232" s="3"/>
      <c r="C232" s="3"/>
      <c r="D232" s="3"/>
      <c r="E232" s="3"/>
      <c r="F232" s="3"/>
      <c r="G232" s="3"/>
      <c r="H232" s="3"/>
    </row>
    <row r="233" spans="1:8" ht="18" x14ac:dyDescent="0.35">
      <c r="A233" s="3"/>
      <c r="B233" s="3"/>
      <c r="C233" s="3"/>
      <c r="D233" s="3"/>
      <c r="E233" s="3"/>
      <c r="F233" s="3"/>
      <c r="G233" s="3"/>
      <c r="H233" s="3"/>
    </row>
    <row r="234" spans="1:8" ht="18" x14ac:dyDescent="0.35">
      <c r="A234" s="3"/>
      <c r="B234" s="3"/>
      <c r="C234" s="3"/>
      <c r="D234" s="3"/>
      <c r="E234" s="3"/>
      <c r="F234" s="3"/>
      <c r="G234" s="3"/>
      <c r="H234" s="3"/>
    </row>
    <row r="235" spans="1:8" ht="18" x14ac:dyDescent="0.35">
      <c r="A235" s="3"/>
      <c r="B235" s="3"/>
      <c r="C235" s="3"/>
      <c r="D235" s="3"/>
      <c r="E235" s="3"/>
      <c r="F235" s="3"/>
      <c r="G235" s="3"/>
      <c r="H235" s="3"/>
    </row>
    <row r="236" spans="1:8" ht="18" x14ac:dyDescent="0.35">
      <c r="A236" s="3"/>
      <c r="B236" s="3"/>
      <c r="C236" s="3"/>
      <c r="D236" s="3"/>
      <c r="E236" s="3"/>
      <c r="F236" s="3"/>
      <c r="G236" s="3"/>
      <c r="H236" s="3"/>
    </row>
    <row r="237" spans="1:8" ht="18" x14ac:dyDescent="0.35">
      <c r="A237" s="3"/>
      <c r="B237" s="3"/>
      <c r="C237" s="3"/>
      <c r="D237" s="3"/>
      <c r="E237" s="3"/>
      <c r="F237" s="3"/>
      <c r="G237" s="3"/>
      <c r="H237" s="3"/>
    </row>
    <row r="238" spans="1:8" ht="18" x14ac:dyDescent="0.35">
      <c r="A238" s="3"/>
      <c r="B238" s="3"/>
      <c r="C238" s="3"/>
      <c r="D238" s="3"/>
      <c r="E238" s="3"/>
      <c r="F238" s="3"/>
      <c r="G238" s="3"/>
      <c r="H238" s="3"/>
    </row>
    <row r="239" spans="1:8" ht="18" x14ac:dyDescent="0.35">
      <c r="A239" s="3"/>
      <c r="B239" s="3"/>
      <c r="C239" s="3"/>
      <c r="D239" s="3"/>
      <c r="E239" s="3"/>
      <c r="F239" s="3"/>
      <c r="G239" s="3"/>
      <c r="H239" s="3"/>
    </row>
    <row r="240" spans="1:8" ht="18" x14ac:dyDescent="0.35">
      <c r="A240" s="3"/>
      <c r="B240" s="3"/>
      <c r="C240" s="3"/>
      <c r="D240" s="3"/>
      <c r="E240" s="3"/>
      <c r="F240" s="3"/>
      <c r="G240" s="3"/>
      <c r="H240" s="3"/>
    </row>
    <row r="241" spans="1:8" ht="18" x14ac:dyDescent="0.35">
      <c r="A241" s="3"/>
      <c r="B241" s="3"/>
      <c r="C241" s="3"/>
      <c r="D241" s="3"/>
      <c r="E241" s="3"/>
      <c r="F241" s="3"/>
      <c r="G241" s="3"/>
      <c r="H241" s="3"/>
    </row>
    <row r="242" spans="1:8" ht="18" x14ac:dyDescent="0.35">
      <c r="A242" s="3"/>
      <c r="B242" s="3"/>
      <c r="C242" s="3"/>
      <c r="D242" s="3"/>
      <c r="E242" s="3"/>
      <c r="F242" s="3"/>
      <c r="G242" s="3"/>
      <c r="H242" s="3"/>
    </row>
    <row r="243" spans="1:8" ht="18" x14ac:dyDescent="0.35">
      <c r="A243" s="3"/>
      <c r="B243" s="3"/>
      <c r="C243" s="3"/>
      <c r="D243" s="3"/>
      <c r="E243" s="3"/>
      <c r="F243" s="3"/>
      <c r="G243" s="3"/>
      <c r="H243" s="3"/>
    </row>
    <row r="244" spans="1:8" ht="18" x14ac:dyDescent="0.35">
      <c r="A244" s="3"/>
      <c r="B244" s="3"/>
      <c r="C244" s="3"/>
      <c r="D244" s="3"/>
      <c r="E244" s="3"/>
      <c r="F244" s="3"/>
      <c r="G244" s="3"/>
      <c r="H244" s="3"/>
    </row>
    <row r="245" spans="1:8" ht="18" x14ac:dyDescent="0.35">
      <c r="A245" s="3"/>
      <c r="B245" s="3"/>
      <c r="C245" s="3"/>
      <c r="D245" s="3"/>
      <c r="E245" s="3"/>
      <c r="F245" s="3"/>
      <c r="G245" s="3"/>
      <c r="H245" s="3"/>
    </row>
    <row r="246" spans="1:8" ht="18" x14ac:dyDescent="0.35">
      <c r="A246" s="3"/>
      <c r="B246" s="3"/>
      <c r="C246" s="3"/>
      <c r="D246" s="3"/>
      <c r="E246" s="3"/>
      <c r="F246" s="3"/>
      <c r="G246" s="3"/>
      <c r="H246" s="3"/>
    </row>
    <row r="247" spans="1:8" ht="18" x14ac:dyDescent="0.35">
      <c r="A247" s="3"/>
      <c r="B247" s="3"/>
      <c r="C247" s="3"/>
      <c r="D247" s="3"/>
      <c r="E247" s="3"/>
      <c r="F247" s="3"/>
      <c r="G247" s="3"/>
      <c r="H247" s="3"/>
    </row>
    <row r="248" spans="1:8" ht="18" x14ac:dyDescent="0.35">
      <c r="A248" s="3"/>
      <c r="B248" s="3"/>
      <c r="C248" s="3"/>
      <c r="D248" s="3"/>
      <c r="E248" s="3"/>
      <c r="F248" s="3"/>
      <c r="G248" s="3"/>
      <c r="H248" s="3"/>
    </row>
    <row r="249" spans="1:8" ht="18" x14ac:dyDescent="0.35">
      <c r="A249" s="3"/>
      <c r="B249" s="3"/>
      <c r="C249" s="3"/>
      <c r="D249" s="3"/>
      <c r="E249" s="3"/>
      <c r="F249" s="3"/>
      <c r="G249" s="3"/>
      <c r="H249" s="3"/>
    </row>
    <row r="250" spans="1:8" ht="18" x14ac:dyDescent="0.35">
      <c r="A250" s="3"/>
      <c r="B250" s="3"/>
      <c r="C250" s="3"/>
      <c r="D250" s="3"/>
      <c r="E250" s="3"/>
      <c r="F250" s="3"/>
      <c r="G250" s="3"/>
      <c r="H250" s="3"/>
    </row>
    <row r="251" spans="1:8" ht="18" x14ac:dyDescent="0.35">
      <c r="A251" s="3"/>
      <c r="B251" s="3"/>
      <c r="C251" s="3"/>
      <c r="D251" s="3"/>
      <c r="E251" s="3"/>
      <c r="F251" s="3"/>
      <c r="G251" s="3"/>
      <c r="H251" s="3"/>
    </row>
    <row r="252" spans="1:8" ht="18" x14ac:dyDescent="0.35">
      <c r="A252" s="3"/>
      <c r="B252" s="3"/>
      <c r="C252" s="3"/>
      <c r="D252" s="3"/>
      <c r="E252" s="3"/>
      <c r="F252" s="3"/>
      <c r="G252" s="3"/>
      <c r="H252" s="3"/>
    </row>
    <row r="253" spans="1:8" ht="18" x14ac:dyDescent="0.35">
      <c r="A253" s="3"/>
      <c r="B253" s="3"/>
      <c r="C253" s="3"/>
      <c r="D253" s="3"/>
      <c r="E253" s="3"/>
      <c r="F253" s="3"/>
      <c r="G253" s="3"/>
      <c r="H253" s="3"/>
    </row>
    <row r="254" spans="1:8" ht="18" x14ac:dyDescent="0.35">
      <c r="A254" s="3"/>
      <c r="B254" s="3"/>
      <c r="C254" s="3"/>
      <c r="D254" s="3"/>
      <c r="E254" s="3"/>
      <c r="F254" s="3"/>
      <c r="G254" s="3"/>
      <c r="H254" s="3"/>
    </row>
    <row r="255" spans="1:8" ht="18" x14ac:dyDescent="0.35">
      <c r="A255" s="3"/>
      <c r="B255" s="3"/>
      <c r="C255" s="3"/>
      <c r="D255" s="3"/>
      <c r="E255" s="3"/>
      <c r="F255" s="3"/>
      <c r="G255" s="3"/>
      <c r="H255" s="3"/>
    </row>
    <row r="256" spans="1:8" ht="18" x14ac:dyDescent="0.35">
      <c r="A256" s="3"/>
      <c r="B256" s="3"/>
      <c r="C256" s="3"/>
      <c r="D256" s="3"/>
      <c r="E256" s="3"/>
      <c r="F256" s="3"/>
      <c r="G256" s="3"/>
      <c r="H256" s="3"/>
    </row>
    <row r="257" spans="1:8" ht="18" x14ac:dyDescent="0.35">
      <c r="A257" s="3"/>
      <c r="B257" s="3"/>
      <c r="C257" s="3"/>
      <c r="D257" s="3"/>
      <c r="E257" s="3"/>
      <c r="F257" s="3"/>
      <c r="G257" s="3"/>
      <c r="H257" s="3"/>
    </row>
    <row r="258" spans="1:8" ht="18" x14ac:dyDescent="0.35">
      <c r="A258" s="3"/>
      <c r="B258" s="3"/>
      <c r="C258" s="3"/>
      <c r="D258" s="3"/>
      <c r="E258" s="3"/>
      <c r="F258" s="3"/>
      <c r="G258" s="3"/>
      <c r="H258" s="3"/>
    </row>
    <row r="259" spans="1:8" ht="18" x14ac:dyDescent="0.35">
      <c r="A259" s="3"/>
      <c r="B259" s="3"/>
      <c r="C259" s="3"/>
      <c r="D259" s="3"/>
      <c r="E259" s="3"/>
      <c r="F259" s="3"/>
      <c r="G259" s="3"/>
      <c r="H259" s="3"/>
    </row>
    <row r="260" spans="1:8" ht="18" x14ac:dyDescent="0.35">
      <c r="A260" s="3"/>
      <c r="B260" s="3"/>
      <c r="C260" s="3"/>
      <c r="D260" s="3"/>
      <c r="E260" s="3"/>
      <c r="F260" s="3"/>
      <c r="G260" s="3"/>
      <c r="H260" s="3"/>
    </row>
    <row r="261" spans="1:8" ht="18" x14ac:dyDescent="0.35">
      <c r="A261" s="3"/>
      <c r="B261" s="3"/>
      <c r="C261" s="3"/>
      <c r="D261" s="3"/>
      <c r="E261" s="3"/>
      <c r="F261" s="3"/>
      <c r="G261" s="3"/>
      <c r="H261" s="3"/>
    </row>
    <row r="262" spans="1:8" ht="18" x14ac:dyDescent="0.35">
      <c r="A262" s="3"/>
      <c r="B262" s="3"/>
      <c r="C262" s="3"/>
      <c r="D262" s="3"/>
      <c r="E262" s="3"/>
      <c r="F262" s="3"/>
      <c r="G262" s="3"/>
      <c r="H262" s="3"/>
    </row>
    <row r="263" spans="1:8" ht="18" x14ac:dyDescent="0.35">
      <c r="A263" s="3"/>
      <c r="B263" s="3"/>
      <c r="C263" s="3"/>
      <c r="D263" s="3"/>
      <c r="E263" s="3"/>
      <c r="F263" s="3"/>
      <c r="G263" s="3"/>
      <c r="H263" s="3"/>
    </row>
    <row r="264" spans="1:8" ht="18" x14ac:dyDescent="0.35">
      <c r="A264" s="3"/>
      <c r="B264" s="3"/>
      <c r="C264" s="3"/>
      <c r="D264" s="3"/>
      <c r="E264" s="3"/>
      <c r="F264" s="3"/>
      <c r="G264" s="3"/>
      <c r="H264" s="3"/>
    </row>
    <row r="265" spans="1:8" ht="18" x14ac:dyDescent="0.35">
      <c r="A265" s="3"/>
      <c r="B265" s="3"/>
      <c r="C265" s="3"/>
      <c r="D265" s="3"/>
      <c r="E265" s="3"/>
      <c r="F265" s="3"/>
      <c r="G265" s="3"/>
      <c r="H265" s="3"/>
    </row>
    <row r="266" spans="1:8" ht="18" x14ac:dyDescent="0.35">
      <c r="A266" s="3"/>
      <c r="B266" s="3"/>
      <c r="C266" s="3"/>
      <c r="D266" s="3"/>
      <c r="E266" s="3"/>
      <c r="F266" s="3"/>
      <c r="G266" s="3"/>
      <c r="H266" s="3"/>
    </row>
    <row r="267" spans="1:8" ht="18" x14ac:dyDescent="0.35">
      <c r="A267" s="3"/>
      <c r="B267" s="3"/>
      <c r="C267" s="3"/>
      <c r="D267" s="3"/>
      <c r="E267" s="3"/>
      <c r="F267" s="3"/>
      <c r="G267" s="3"/>
      <c r="H267" s="3"/>
    </row>
    <row r="268" spans="1:8" ht="18" x14ac:dyDescent="0.35">
      <c r="A268" s="3"/>
      <c r="B268" s="3"/>
      <c r="C268" s="3"/>
      <c r="D268" s="3"/>
      <c r="E268" s="3"/>
      <c r="F268" s="3"/>
      <c r="G268" s="3"/>
      <c r="H268" s="3"/>
    </row>
    <row r="269" spans="1:8" ht="18" x14ac:dyDescent="0.35">
      <c r="A269" s="3"/>
      <c r="B269" s="3"/>
      <c r="C269" s="3"/>
      <c r="D269" s="3"/>
      <c r="E269" s="3"/>
      <c r="F269" s="3"/>
      <c r="G269" s="3"/>
      <c r="H269" s="3"/>
    </row>
    <row r="270" spans="1:8" ht="18" x14ac:dyDescent="0.35">
      <c r="A270" s="3"/>
      <c r="B270" s="3"/>
      <c r="C270" s="3"/>
      <c r="D270" s="3"/>
      <c r="E270" s="3"/>
      <c r="F270" s="3"/>
      <c r="G270" s="3"/>
      <c r="H270" s="3"/>
    </row>
    <row r="271" spans="1:8" ht="18" x14ac:dyDescent="0.35">
      <c r="A271" s="3"/>
      <c r="B271" s="3"/>
      <c r="C271" s="3"/>
      <c r="D271" s="3"/>
      <c r="E271" s="3"/>
      <c r="F271" s="3"/>
      <c r="G271" s="3"/>
      <c r="H271" s="3"/>
    </row>
    <row r="272" spans="1:8" ht="18" x14ac:dyDescent="0.35">
      <c r="A272" s="3"/>
      <c r="B272" s="3"/>
      <c r="C272" s="3"/>
      <c r="D272" s="3"/>
      <c r="E272" s="3"/>
      <c r="F272" s="3"/>
      <c r="G272" s="3"/>
      <c r="H272" s="3"/>
    </row>
    <row r="273" spans="1:8" ht="18" x14ac:dyDescent="0.35">
      <c r="A273" s="3"/>
      <c r="B273" s="3"/>
      <c r="C273" s="3"/>
      <c r="D273" s="3"/>
      <c r="E273" s="3"/>
      <c r="F273" s="3"/>
      <c r="G273" s="3"/>
      <c r="H273" s="3"/>
    </row>
    <row r="274" spans="1:8" ht="18" x14ac:dyDescent="0.35">
      <c r="A274" s="3"/>
      <c r="B274" s="3"/>
      <c r="C274" s="3"/>
      <c r="D274" s="3"/>
      <c r="E274" s="3"/>
      <c r="F274" s="3"/>
      <c r="G274" s="3"/>
      <c r="H274" s="3"/>
    </row>
    <row r="275" spans="1:8" ht="18" x14ac:dyDescent="0.35">
      <c r="A275" s="3"/>
      <c r="B275" s="3"/>
      <c r="C275" s="3"/>
      <c r="D275" s="3"/>
      <c r="E275" s="3"/>
      <c r="F275" s="3"/>
      <c r="G275" s="3"/>
      <c r="H275" s="3"/>
    </row>
    <row r="276" spans="1:8" ht="18" x14ac:dyDescent="0.35">
      <c r="A276" s="3"/>
      <c r="B276" s="3"/>
      <c r="C276" s="3"/>
      <c r="D276" s="3"/>
      <c r="E276" s="3"/>
      <c r="F276" s="3"/>
      <c r="G276" s="3"/>
      <c r="H276" s="3"/>
    </row>
    <row r="277" spans="1:8" ht="18" x14ac:dyDescent="0.35">
      <c r="A277" s="3"/>
      <c r="B277" s="3"/>
      <c r="C277" s="3"/>
      <c r="D277" s="3"/>
      <c r="E277" s="3"/>
      <c r="F277" s="3"/>
      <c r="G277" s="3"/>
      <c r="H277" s="3"/>
    </row>
    <row r="278" spans="1:8" ht="18" x14ac:dyDescent="0.35">
      <c r="A278" s="3"/>
      <c r="B278" s="3"/>
      <c r="C278" s="3"/>
      <c r="D278" s="3"/>
      <c r="E278" s="3"/>
      <c r="F278" s="3"/>
      <c r="G278" s="3"/>
      <c r="H278" s="3"/>
    </row>
    <row r="279" spans="1:8" ht="18" x14ac:dyDescent="0.35">
      <c r="A279" s="3"/>
      <c r="B279" s="3"/>
      <c r="C279" s="3"/>
      <c r="D279" s="3"/>
      <c r="E279" s="3"/>
      <c r="F279" s="3"/>
      <c r="G279" s="3"/>
      <c r="H279" s="3"/>
    </row>
    <row r="280" spans="1:8" ht="18" x14ac:dyDescent="0.35">
      <c r="A280" s="3"/>
      <c r="B280" s="3"/>
      <c r="C280" s="3"/>
      <c r="D280" s="3"/>
      <c r="E280" s="3"/>
      <c r="F280" s="3"/>
      <c r="G280" s="3"/>
      <c r="H280" s="3"/>
    </row>
    <row r="281" spans="1:8" ht="18" x14ac:dyDescent="0.35">
      <c r="A281" s="3"/>
      <c r="B281" s="3"/>
      <c r="C281" s="3"/>
      <c r="D281" s="3"/>
      <c r="E281" s="3"/>
      <c r="F281" s="3"/>
      <c r="G281" s="3"/>
      <c r="H281" s="3"/>
    </row>
    <row r="282" spans="1:8" ht="18" x14ac:dyDescent="0.35">
      <c r="A282" s="3"/>
      <c r="B282" s="3"/>
      <c r="C282" s="3"/>
      <c r="D282" s="3"/>
      <c r="E282" s="3"/>
      <c r="F282" s="3"/>
      <c r="G282" s="3"/>
      <c r="H282" s="3"/>
    </row>
    <row r="283" spans="1:8" ht="18" x14ac:dyDescent="0.35">
      <c r="A283" s="3"/>
      <c r="B283" s="3"/>
      <c r="C283" s="3"/>
      <c r="D283" s="3"/>
      <c r="E283" s="3"/>
      <c r="F283" s="3"/>
      <c r="G283" s="3"/>
      <c r="H283" s="3"/>
    </row>
    <row r="284" spans="1:8" ht="18" x14ac:dyDescent="0.35">
      <c r="A284" s="3"/>
      <c r="B284" s="3"/>
      <c r="C284" s="3"/>
      <c r="D284" s="3"/>
      <c r="E284" s="3"/>
      <c r="F284" s="3"/>
      <c r="G284" s="3"/>
      <c r="H284" s="3"/>
    </row>
    <row r="285" spans="1:8" ht="18" x14ac:dyDescent="0.35">
      <c r="A285" s="3"/>
      <c r="B285" s="3"/>
      <c r="C285" s="3"/>
      <c r="D285" s="3"/>
      <c r="E285" s="3"/>
      <c r="F285" s="3"/>
      <c r="G285" s="3"/>
      <c r="H285" s="3"/>
    </row>
    <row r="286" spans="1:8" ht="18" x14ac:dyDescent="0.35">
      <c r="A286" s="3"/>
      <c r="B286" s="3"/>
      <c r="C286" s="3"/>
      <c r="D286" s="3"/>
      <c r="E286" s="3"/>
      <c r="F286" s="3"/>
      <c r="G286" s="3"/>
      <c r="H286" s="3"/>
    </row>
    <row r="287" spans="1:8" ht="18" x14ac:dyDescent="0.35">
      <c r="A287" s="3"/>
      <c r="B287" s="3"/>
      <c r="C287" s="3"/>
      <c r="D287" s="3"/>
      <c r="E287" s="3"/>
      <c r="F287" s="3"/>
      <c r="G287" s="3"/>
      <c r="H287" s="3"/>
    </row>
    <row r="288" spans="1:8" ht="18" x14ac:dyDescent="0.35">
      <c r="A288" s="3"/>
      <c r="B288" s="3"/>
      <c r="C288" s="3"/>
      <c r="D288" s="3"/>
      <c r="E288" s="3"/>
      <c r="F288" s="3"/>
      <c r="G288" s="3"/>
      <c r="H288" s="3"/>
    </row>
    <row r="289" spans="1:8" ht="18" x14ac:dyDescent="0.35">
      <c r="A289" s="3"/>
      <c r="B289" s="3"/>
      <c r="C289" s="3"/>
      <c r="D289" s="3"/>
      <c r="E289" s="3"/>
      <c r="F289" s="3"/>
      <c r="G289" s="3"/>
      <c r="H289" s="3"/>
    </row>
    <row r="290" spans="1:8" ht="18" x14ac:dyDescent="0.35">
      <c r="A290" s="3"/>
      <c r="B290" s="3"/>
      <c r="C290" s="3"/>
      <c r="D290" s="3"/>
      <c r="E290" s="3"/>
      <c r="F290" s="3"/>
      <c r="G290" s="3"/>
      <c r="H290" s="3"/>
    </row>
    <row r="291" spans="1:8" ht="18" x14ac:dyDescent="0.35">
      <c r="A291" s="3"/>
      <c r="B291" s="3"/>
      <c r="C291" s="3"/>
      <c r="D291" s="3"/>
      <c r="E291" s="3"/>
      <c r="F291" s="3"/>
      <c r="G291" s="3"/>
      <c r="H291" s="3"/>
    </row>
    <row r="292" spans="1:8" ht="18" x14ac:dyDescent="0.35">
      <c r="A292" s="3"/>
      <c r="B292" s="3"/>
      <c r="C292" s="3"/>
      <c r="D292" s="3"/>
      <c r="E292" s="3"/>
      <c r="F292" s="3"/>
      <c r="G292" s="3"/>
      <c r="H292" s="3"/>
    </row>
    <row r="293" spans="1:8" ht="18" x14ac:dyDescent="0.35">
      <c r="A293" s="3"/>
      <c r="B293" s="3"/>
      <c r="C293" s="3"/>
      <c r="D293" s="3"/>
      <c r="E293" s="3"/>
      <c r="F293" s="3"/>
      <c r="G293" s="3"/>
      <c r="H293" s="3"/>
    </row>
    <row r="294" spans="1:8" ht="18" x14ac:dyDescent="0.35">
      <c r="A294" s="3"/>
      <c r="B294" s="3"/>
      <c r="C294" s="3"/>
      <c r="D294" s="3"/>
      <c r="E294" s="3"/>
      <c r="F294" s="3"/>
      <c r="G294" s="3"/>
      <c r="H294" s="3"/>
    </row>
    <row r="295" spans="1:8" ht="18" x14ac:dyDescent="0.35">
      <c r="A295" s="3"/>
      <c r="B295" s="3"/>
      <c r="C295" s="3"/>
      <c r="D295" s="3"/>
      <c r="E295" s="3"/>
      <c r="F295" s="3"/>
      <c r="G295" s="3"/>
      <c r="H295" s="3"/>
    </row>
  </sheetData>
  <mergeCells count="57">
    <mergeCell ref="A210:H210"/>
    <mergeCell ref="A216:H216"/>
    <mergeCell ref="A217:H217"/>
    <mergeCell ref="A223:H223"/>
    <mergeCell ref="A224:H224"/>
    <mergeCell ref="A168:H168"/>
    <mergeCell ref="A174:H174"/>
    <mergeCell ref="A202:H202"/>
    <mergeCell ref="A203:H203"/>
    <mergeCell ref="A209:H209"/>
    <mergeCell ref="A175:H175"/>
    <mergeCell ref="A181:H181"/>
    <mergeCell ref="A182:H182"/>
    <mergeCell ref="A188:H188"/>
    <mergeCell ref="A189:H189"/>
    <mergeCell ref="A195:H195"/>
    <mergeCell ref="A196:H196"/>
    <mergeCell ref="A152:H152"/>
    <mergeCell ref="A153:H153"/>
    <mergeCell ref="A160:H160"/>
    <mergeCell ref="A161:H161"/>
    <mergeCell ref="A167:H167"/>
    <mergeCell ref="A132:H132"/>
    <mergeCell ref="A138:H138"/>
    <mergeCell ref="A139:H139"/>
    <mergeCell ref="A145:H145"/>
    <mergeCell ref="A146:H146"/>
    <mergeCell ref="A117:H117"/>
    <mergeCell ref="A118:H118"/>
    <mergeCell ref="A124:H124"/>
    <mergeCell ref="A125:H125"/>
    <mergeCell ref="A131:H131"/>
    <mergeCell ref="A94:H94"/>
    <mergeCell ref="A100:H100"/>
    <mergeCell ref="A101:H101"/>
    <mergeCell ref="A107:H107"/>
    <mergeCell ref="A108:H108"/>
    <mergeCell ref="A79:H79"/>
    <mergeCell ref="A80:H80"/>
    <mergeCell ref="A86:H86"/>
    <mergeCell ref="A87:H87"/>
    <mergeCell ref="A93:H93"/>
    <mergeCell ref="A55:H55"/>
    <mergeCell ref="A63:H63"/>
    <mergeCell ref="A64:H64"/>
    <mergeCell ref="A72:H72"/>
    <mergeCell ref="A73:H73"/>
    <mergeCell ref="A35:H35"/>
    <mergeCell ref="A36:H36"/>
    <mergeCell ref="A45:H45"/>
    <mergeCell ref="A46:H46"/>
    <mergeCell ref="A54:H54"/>
    <mergeCell ref="A1:H1"/>
    <mergeCell ref="A2:H2"/>
    <mergeCell ref="A3:H3"/>
    <mergeCell ref="A15:H15"/>
    <mergeCell ref="A16:H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781A8-9AC4-429F-BA1C-F1D8D1DB14E5}">
  <dimension ref="A1:Z240"/>
  <sheetViews>
    <sheetView workbookViewId="0">
      <selection activeCell="J11" sqref="J11"/>
    </sheetView>
  </sheetViews>
  <sheetFormatPr defaultRowHeight="14.4" x14ac:dyDescent="0.3"/>
  <cols>
    <col min="1" max="1" width="10.5546875" customWidth="1"/>
    <col min="2" max="2" width="31.44140625" customWidth="1"/>
    <col min="3" max="3" width="16.77734375" customWidth="1"/>
    <col min="4" max="4" width="16.109375" customWidth="1"/>
  </cols>
  <sheetData>
    <row r="1" spans="1:26" ht="18" x14ac:dyDescent="0.35">
      <c r="A1" s="55" t="s">
        <v>271</v>
      </c>
      <c r="B1" s="56"/>
      <c r="C1" s="56"/>
      <c r="D1" s="5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8.600000000000001" thickBot="1" x14ac:dyDescent="0.4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8.600000000000001" thickBot="1" x14ac:dyDescent="0.4">
      <c r="A3" s="30" t="s">
        <v>272</v>
      </c>
      <c r="B3" s="31" t="s">
        <v>9</v>
      </c>
      <c r="C3" s="32" t="s">
        <v>95</v>
      </c>
      <c r="D3" s="31" t="s">
        <v>96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" x14ac:dyDescent="0.35">
      <c r="A4" s="33">
        <v>1</v>
      </c>
      <c r="B4" s="34" t="s">
        <v>98</v>
      </c>
      <c r="C4" s="35">
        <v>132000</v>
      </c>
      <c r="D4" s="34" t="s">
        <v>273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" x14ac:dyDescent="0.35">
      <c r="A5" s="36">
        <v>2</v>
      </c>
      <c r="B5" s="37" t="s">
        <v>100</v>
      </c>
      <c r="C5" s="38">
        <v>47000</v>
      </c>
      <c r="D5" s="37" t="s">
        <v>273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8" x14ac:dyDescent="0.35">
      <c r="A6" s="36">
        <v>3</v>
      </c>
      <c r="B6" s="37" t="s">
        <v>274</v>
      </c>
      <c r="C6" s="38">
        <v>260000</v>
      </c>
      <c r="D6" s="37" t="s">
        <v>273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" x14ac:dyDescent="0.35">
      <c r="A7" s="36">
        <v>4</v>
      </c>
      <c r="B7" s="37" t="s">
        <v>130</v>
      </c>
      <c r="C7" s="39" t="s">
        <v>273</v>
      </c>
      <c r="D7" s="40">
        <v>21000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8" x14ac:dyDescent="0.35">
      <c r="A8" s="36">
        <v>5</v>
      </c>
      <c r="B8" s="37" t="s">
        <v>105</v>
      </c>
      <c r="C8" s="38">
        <v>4000</v>
      </c>
      <c r="D8" s="37" t="s">
        <v>273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8" x14ac:dyDescent="0.35">
      <c r="A9" s="36">
        <v>6</v>
      </c>
      <c r="B9" s="37" t="s">
        <v>275</v>
      </c>
      <c r="C9" s="39" t="s">
        <v>273</v>
      </c>
      <c r="D9" s="40">
        <v>355000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8" x14ac:dyDescent="0.35">
      <c r="A10" s="36">
        <v>7</v>
      </c>
      <c r="B10" s="37" t="s">
        <v>124</v>
      </c>
      <c r="C10" s="38">
        <v>4500</v>
      </c>
      <c r="D10" s="37" t="s">
        <v>273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8" x14ac:dyDescent="0.35">
      <c r="A11" s="36">
        <v>8</v>
      </c>
      <c r="B11" s="37" t="s">
        <v>127</v>
      </c>
      <c r="C11" s="41">
        <v>15000</v>
      </c>
      <c r="D11" s="37" t="s">
        <v>273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8" x14ac:dyDescent="0.35">
      <c r="A12" s="36">
        <v>9</v>
      </c>
      <c r="B12" s="37" t="s">
        <v>276</v>
      </c>
      <c r="C12" s="39" t="s">
        <v>273</v>
      </c>
      <c r="D12" s="40">
        <v>12000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8" x14ac:dyDescent="0.35">
      <c r="A13" s="36">
        <v>10</v>
      </c>
      <c r="B13" s="37" t="s">
        <v>134</v>
      </c>
      <c r="C13" s="38">
        <v>10000</v>
      </c>
      <c r="D13" s="37" t="s">
        <v>273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8" x14ac:dyDescent="0.35">
      <c r="A14" s="36">
        <v>11</v>
      </c>
      <c r="B14" s="37" t="s">
        <v>277</v>
      </c>
      <c r="C14" s="38">
        <v>50000</v>
      </c>
      <c r="D14" s="37" t="s">
        <v>273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8" x14ac:dyDescent="0.35">
      <c r="A15" s="36">
        <v>12</v>
      </c>
      <c r="B15" s="37" t="s">
        <v>142</v>
      </c>
      <c r="C15" s="38">
        <v>22000</v>
      </c>
      <c r="D15" s="37" t="s">
        <v>273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8" x14ac:dyDescent="0.35">
      <c r="A16" s="36">
        <v>13</v>
      </c>
      <c r="B16" s="37" t="s">
        <v>145</v>
      </c>
      <c r="C16" s="38">
        <v>6000</v>
      </c>
      <c r="D16" s="37" t="s">
        <v>273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8" x14ac:dyDescent="0.35">
      <c r="A17" s="36">
        <v>14</v>
      </c>
      <c r="B17" s="37" t="s">
        <v>278</v>
      </c>
      <c r="C17" s="39" t="s">
        <v>273</v>
      </c>
      <c r="D17" s="40">
        <v>7000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8" x14ac:dyDescent="0.35">
      <c r="A18" s="36">
        <v>15</v>
      </c>
      <c r="B18" s="37" t="s">
        <v>151</v>
      </c>
      <c r="C18" s="38">
        <v>18000</v>
      </c>
      <c r="D18" s="37" t="s">
        <v>273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8" x14ac:dyDescent="0.35">
      <c r="A19" s="36">
        <v>16</v>
      </c>
      <c r="B19" s="37" t="s">
        <v>279</v>
      </c>
      <c r="C19" s="39" t="s">
        <v>273</v>
      </c>
      <c r="D19" s="40">
        <v>125000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8" x14ac:dyDescent="0.35">
      <c r="A20" s="36">
        <v>17</v>
      </c>
      <c r="B20" s="37" t="s">
        <v>106</v>
      </c>
      <c r="C20" s="38">
        <v>55000</v>
      </c>
      <c r="D20" s="37" t="s">
        <v>273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8" x14ac:dyDescent="0.35">
      <c r="A21" s="36">
        <v>18</v>
      </c>
      <c r="B21" s="37" t="s">
        <v>161</v>
      </c>
      <c r="C21" s="38">
        <v>5500</v>
      </c>
      <c r="D21" s="37" t="s">
        <v>273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8" x14ac:dyDescent="0.35">
      <c r="A22" s="36">
        <v>19</v>
      </c>
      <c r="B22" s="37" t="s">
        <v>280</v>
      </c>
      <c r="C22" s="39" t="s">
        <v>273</v>
      </c>
      <c r="D22" s="40">
        <v>9000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8" x14ac:dyDescent="0.35">
      <c r="A23" s="36">
        <v>20</v>
      </c>
      <c r="B23" s="37" t="s">
        <v>281</v>
      </c>
      <c r="C23" s="39" t="s">
        <v>273</v>
      </c>
      <c r="D23" s="40">
        <v>450000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8" x14ac:dyDescent="0.35">
      <c r="A24" s="36">
        <v>21</v>
      </c>
      <c r="B24" s="37" t="s">
        <v>169</v>
      </c>
      <c r="C24" s="38">
        <v>12000</v>
      </c>
      <c r="D24" s="37" t="s">
        <v>273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8" x14ac:dyDescent="0.35">
      <c r="A25" s="36">
        <v>22</v>
      </c>
      <c r="B25" s="37" t="s">
        <v>172</v>
      </c>
      <c r="C25" s="38">
        <v>6000</v>
      </c>
      <c r="D25" s="37" t="s">
        <v>273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8" x14ac:dyDescent="0.35">
      <c r="A26" s="36">
        <v>23</v>
      </c>
      <c r="B26" s="37" t="s">
        <v>175</v>
      </c>
      <c r="C26" s="38">
        <v>4000</v>
      </c>
      <c r="D26" s="37" t="s">
        <v>273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8" x14ac:dyDescent="0.35">
      <c r="A27" s="36">
        <v>24</v>
      </c>
      <c r="B27" s="37" t="s">
        <v>282</v>
      </c>
      <c r="C27" s="39" t="s">
        <v>273</v>
      </c>
      <c r="D27" s="40">
        <v>3000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8" x14ac:dyDescent="0.35">
      <c r="A28" s="36">
        <v>25</v>
      </c>
      <c r="B28" s="37" t="s">
        <v>182</v>
      </c>
      <c r="C28" s="38">
        <v>8500</v>
      </c>
      <c r="D28" s="37" t="s">
        <v>273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8" x14ac:dyDescent="0.35">
      <c r="A29" s="36">
        <v>26</v>
      </c>
      <c r="B29" s="37" t="s">
        <v>185</v>
      </c>
      <c r="C29" s="38">
        <v>2500</v>
      </c>
      <c r="D29" s="37" t="s">
        <v>273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8" x14ac:dyDescent="0.35">
      <c r="A30" s="36">
        <v>27</v>
      </c>
      <c r="B30" s="37" t="s">
        <v>102</v>
      </c>
      <c r="C30" s="38">
        <v>85000</v>
      </c>
      <c r="D30" s="37" t="s">
        <v>273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8" x14ac:dyDescent="0.35">
      <c r="A31" s="36">
        <v>28</v>
      </c>
      <c r="B31" s="37" t="s">
        <v>190</v>
      </c>
      <c r="C31" s="38">
        <v>5000</v>
      </c>
      <c r="D31" s="37" t="s">
        <v>273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8" x14ac:dyDescent="0.35">
      <c r="A32" s="36">
        <v>29</v>
      </c>
      <c r="B32" s="37" t="s">
        <v>103</v>
      </c>
      <c r="C32" s="38">
        <v>200000</v>
      </c>
      <c r="D32" s="37" t="s">
        <v>273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8" x14ac:dyDescent="0.35">
      <c r="A33" s="36">
        <v>30</v>
      </c>
      <c r="B33" s="37" t="s">
        <v>101</v>
      </c>
      <c r="C33" s="38">
        <v>90000</v>
      </c>
      <c r="D33" s="37" t="s">
        <v>273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8" x14ac:dyDescent="0.35">
      <c r="A34" s="36">
        <v>31</v>
      </c>
      <c r="B34" s="37" t="s">
        <v>104</v>
      </c>
      <c r="C34" s="38">
        <v>40000</v>
      </c>
      <c r="D34" s="37" t="s">
        <v>273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8" x14ac:dyDescent="0.35">
      <c r="A35" s="36">
        <v>32</v>
      </c>
      <c r="B35" s="37" t="s">
        <v>283</v>
      </c>
      <c r="C35" s="39" t="s">
        <v>273</v>
      </c>
      <c r="D35" s="40">
        <v>100000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8.600000000000001" thickBot="1" x14ac:dyDescent="0.4">
      <c r="A36" s="42"/>
      <c r="B36" s="43"/>
      <c r="C36" s="44"/>
      <c r="D36" s="45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8.600000000000001" thickBot="1" x14ac:dyDescent="0.4">
      <c r="A37" s="58" t="s">
        <v>284</v>
      </c>
      <c r="B37" s="59"/>
      <c r="C37" s="46">
        <v>1082000</v>
      </c>
      <c r="D37" s="47">
        <v>1082000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8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8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8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8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8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8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8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8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8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8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8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8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8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8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8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8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8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8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8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8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8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8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8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8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8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8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8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8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8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8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8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8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8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8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8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8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8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8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8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8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8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8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8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8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8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8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8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8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8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8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8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8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8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8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8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8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8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8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8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8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8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8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8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8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8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8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8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8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8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8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8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8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8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8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8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8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8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8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8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8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8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8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8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8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8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8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8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8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8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8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8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8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8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8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8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8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8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8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8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8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8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8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8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8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8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8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8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8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8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8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8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8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8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8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8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8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8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8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8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8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8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8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8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8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8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8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8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8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8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8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8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8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8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8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8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8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8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8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8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8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8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8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8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8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8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8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8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8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8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8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8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8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8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8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8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8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8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8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8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8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8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8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8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8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8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8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8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8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8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8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8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8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8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8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8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8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8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8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8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8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8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8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8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8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8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8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8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8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8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8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8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8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8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8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8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8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8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8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8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8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</sheetData>
  <mergeCells count="2">
    <mergeCell ref="A1:D1"/>
    <mergeCell ref="A37:B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4CCB-645B-486C-A6C4-6D557F2E50C7}">
  <dimension ref="A1:F11"/>
  <sheetViews>
    <sheetView workbookViewId="0">
      <selection activeCell="G13" sqref="G13"/>
    </sheetView>
  </sheetViews>
  <sheetFormatPr defaultRowHeight="14.4" x14ac:dyDescent="0.3"/>
  <cols>
    <col min="1" max="1" width="28.44140625" customWidth="1"/>
    <col min="2" max="2" width="14.77734375" customWidth="1"/>
    <col min="3" max="3" width="17.77734375" customWidth="1"/>
    <col min="4" max="4" width="32.109375" customWidth="1"/>
    <col min="5" max="5" width="17.21875" customWidth="1"/>
    <col min="6" max="6" width="16.77734375" customWidth="1"/>
  </cols>
  <sheetData>
    <row r="1" spans="1:6" ht="17.399999999999999" x14ac:dyDescent="0.3">
      <c r="A1" s="55" t="s">
        <v>285</v>
      </c>
      <c r="B1" s="56"/>
      <c r="C1" s="56"/>
      <c r="D1" s="56"/>
      <c r="E1" s="56"/>
      <c r="F1" s="56"/>
    </row>
    <row r="2" spans="1:6" ht="18" thickBot="1" x14ac:dyDescent="0.35">
      <c r="A2" s="60" t="s">
        <v>286</v>
      </c>
      <c r="B2" s="61"/>
      <c r="C2" s="61"/>
      <c r="D2" s="61"/>
      <c r="E2" s="61"/>
      <c r="F2" s="61"/>
    </row>
    <row r="3" spans="1:6" ht="18" thickBot="1" x14ac:dyDescent="0.35">
      <c r="A3" s="4" t="s">
        <v>9</v>
      </c>
      <c r="B3" s="5" t="s">
        <v>199</v>
      </c>
      <c r="C3" s="5" t="s">
        <v>199</v>
      </c>
      <c r="D3" s="5" t="s">
        <v>9</v>
      </c>
      <c r="E3" s="5" t="s">
        <v>199</v>
      </c>
      <c r="F3" s="6" t="s">
        <v>199</v>
      </c>
    </row>
    <row r="4" spans="1:6" ht="18" x14ac:dyDescent="0.35">
      <c r="A4" s="7" t="s">
        <v>287</v>
      </c>
      <c r="B4" s="8"/>
      <c r="C4" s="9">
        <v>90000</v>
      </c>
      <c r="D4" s="8" t="s">
        <v>288</v>
      </c>
      <c r="E4" s="9">
        <v>355000</v>
      </c>
      <c r="F4" s="10"/>
    </row>
    <row r="5" spans="1:6" ht="18.600000000000001" thickBot="1" x14ac:dyDescent="0.4">
      <c r="A5" s="11" t="s">
        <v>289</v>
      </c>
      <c r="B5" s="13">
        <v>260000</v>
      </c>
      <c r="C5" s="12"/>
      <c r="D5" s="12" t="s">
        <v>290</v>
      </c>
      <c r="E5" s="28">
        <v>10000</v>
      </c>
      <c r="F5" s="16">
        <v>345000</v>
      </c>
    </row>
    <row r="6" spans="1:6" ht="18.600000000000001" thickBot="1" x14ac:dyDescent="0.4">
      <c r="A6" s="11" t="s">
        <v>291</v>
      </c>
      <c r="B6" s="28">
        <v>12000</v>
      </c>
      <c r="C6" s="13">
        <v>248000</v>
      </c>
      <c r="D6" s="12" t="s">
        <v>292</v>
      </c>
      <c r="E6" s="48"/>
      <c r="F6" s="16">
        <v>110000</v>
      </c>
    </row>
    <row r="7" spans="1:6" ht="18" x14ac:dyDescent="0.35">
      <c r="A7" s="49" t="s">
        <v>293</v>
      </c>
      <c r="B7" s="48"/>
      <c r="C7" s="12"/>
      <c r="D7" s="12"/>
      <c r="E7" s="12"/>
      <c r="F7" s="14"/>
    </row>
    <row r="8" spans="1:6" ht="18" x14ac:dyDescent="0.35">
      <c r="A8" s="11" t="s">
        <v>294</v>
      </c>
      <c r="B8" s="12"/>
      <c r="C8" s="13">
        <v>15000</v>
      </c>
      <c r="D8" s="12"/>
      <c r="E8" s="12"/>
      <c r="F8" s="14"/>
    </row>
    <row r="9" spans="1:6" ht="18" x14ac:dyDescent="0.35">
      <c r="A9" s="11" t="s">
        <v>295</v>
      </c>
      <c r="B9" s="12"/>
      <c r="C9" s="13">
        <v>4500</v>
      </c>
      <c r="D9" s="12"/>
      <c r="E9" s="12"/>
      <c r="F9" s="14"/>
    </row>
    <row r="10" spans="1:6" ht="18" x14ac:dyDescent="0.35">
      <c r="A10" s="11" t="s">
        <v>296</v>
      </c>
      <c r="B10" s="12"/>
      <c r="C10" s="13">
        <v>97500</v>
      </c>
      <c r="D10" s="12"/>
      <c r="E10" s="12"/>
      <c r="F10" s="14"/>
    </row>
    <row r="11" spans="1:6" ht="18.600000000000001" thickBot="1" x14ac:dyDescent="0.4">
      <c r="A11" s="17"/>
      <c r="B11" s="18"/>
      <c r="C11" s="50">
        <v>455000</v>
      </c>
      <c r="D11" s="18"/>
      <c r="E11" s="18"/>
      <c r="F11" s="51">
        <v>455000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EDAEF-73AE-4D9D-9AA3-354969FD6070}">
  <dimension ref="A1:F21"/>
  <sheetViews>
    <sheetView workbookViewId="0">
      <selection activeCell="D8" sqref="D8"/>
    </sheetView>
  </sheetViews>
  <sheetFormatPr defaultRowHeight="14.4" x14ac:dyDescent="0.3"/>
  <cols>
    <col min="1" max="1" width="42.21875" customWidth="1"/>
    <col min="2" max="2" width="20.33203125" customWidth="1"/>
    <col min="3" max="3" width="19.77734375" customWidth="1"/>
    <col min="4" max="4" width="34.5546875" customWidth="1"/>
    <col min="5" max="5" width="21.6640625" customWidth="1"/>
    <col min="6" max="6" width="21" customWidth="1"/>
  </cols>
  <sheetData>
    <row r="1" spans="1:6" ht="17.399999999999999" x14ac:dyDescent="0.3">
      <c r="A1" s="55" t="s">
        <v>297</v>
      </c>
      <c r="B1" s="56"/>
      <c r="C1" s="56"/>
      <c r="D1" s="56"/>
      <c r="E1" s="56"/>
      <c r="F1" s="56"/>
    </row>
    <row r="2" spans="1:6" ht="18" thickBot="1" x14ac:dyDescent="0.35">
      <c r="A2" s="60" t="s">
        <v>298</v>
      </c>
      <c r="B2" s="61"/>
      <c r="C2" s="61"/>
      <c r="D2" s="61"/>
      <c r="E2" s="61"/>
      <c r="F2" s="61"/>
    </row>
    <row r="3" spans="1:6" ht="18" thickBot="1" x14ac:dyDescent="0.35">
      <c r="A3" s="4" t="s">
        <v>9</v>
      </c>
      <c r="B3" s="5" t="s">
        <v>199</v>
      </c>
      <c r="C3" s="5" t="s">
        <v>199</v>
      </c>
      <c r="D3" s="5" t="s">
        <v>9</v>
      </c>
      <c r="E3" s="5" t="s">
        <v>199</v>
      </c>
      <c r="F3" s="6" t="s">
        <v>199</v>
      </c>
    </row>
    <row r="4" spans="1:6" ht="18" x14ac:dyDescent="0.35">
      <c r="A4" s="7" t="s">
        <v>299</v>
      </c>
      <c r="B4" s="9">
        <v>22000</v>
      </c>
      <c r="C4" s="8"/>
      <c r="D4" s="8" t="s">
        <v>300</v>
      </c>
      <c r="E4" s="8"/>
      <c r="F4" s="22">
        <v>97500</v>
      </c>
    </row>
    <row r="5" spans="1:6" ht="18.600000000000001" thickBot="1" x14ac:dyDescent="0.4">
      <c r="A5" s="11" t="s">
        <v>301</v>
      </c>
      <c r="B5" s="28">
        <v>3000</v>
      </c>
      <c r="C5" s="13">
        <v>25000</v>
      </c>
      <c r="D5" s="12" t="s">
        <v>302</v>
      </c>
      <c r="E5" s="12"/>
      <c r="F5" s="16">
        <v>7000</v>
      </c>
    </row>
    <row r="6" spans="1:6" ht="18" x14ac:dyDescent="0.35">
      <c r="A6" s="11" t="s">
        <v>303</v>
      </c>
      <c r="B6" s="48"/>
      <c r="C6" s="13">
        <v>6000</v>
      </c>
      <c r="D6" s="12" t="s">
        <v>304</v>
      </c>
      <c r="E6" s="12"/>
      <c r="F6" s="16">
        <v>9000</v>
      </c>
    </row>
    <row r="7" spans="1:6" ht="18" x14ac:dyDescent="0.35">
      <c r="A7" s="11" t="s">
        <v>305</v>
      </c>
      <c r="B7" s="12"/>
      <c r="C7" s="13">
        <v>18000</v>
      </c>
      <c r="D7" s="12" t="s">
        <v>306</v>
      </c>
      <c r="E7" s="12"/>
      <c r="F7" s="16">
        <v>3000</v>
      </c>
    </row>
    <row r="8" spans="1:6" ht="18" x14ac:dyDescent="0.35">
      <c r="A8" s="11" t="s">
        <v>307</v>
      </c>
      <c r="B8" s="12"/>
      <c r="C8" s="13">
        <v>5500</v>
      </c>
      <c r="D8" s="12"/>
      <c r="E8" s="12"/>
      <c r="F8" s="14"/>
    </row>
    <row r="9" spans="1:6" ht="18" x14ac:dyDescent="0.35">
      <c r="A9" s="11" t="s">
        <v>308</v>
      </c>
      <c r="B9" s="13">
        <v>6000</v>
      </c>
      <c r="C9" s="12"/>
      <c r="D9" s="12"/>
      <c r="E9" s="12"/>
      <c r="F9" s="14"/>
    </row>
    <row r="10" spans="1:6" ht="18.600000000000001" thickBot="1" x14ac:dyDescent="0.4">
      <c r="A10" s="11" t="s">
        <v>309</v>
      </c>
      <c r="B10" s="28">
        <v>1500</v>
      </c>
      <c r="C10" s="13">
        <v>4500</v>
      </c>
      <c r="D10" s="12"/>
      <c r="E10" s="12"/>
      <c r="F10" s="14"/>
    </row>
    <row r="11" spans="1:6" ht="18" x14ac:dyDescent="0.35">
      <c r="A11" s="11" t="s">
        <v>310</v>
      </c>
      <c r="B11" s="48"/>
      <c r="C11" s="13">
        <v>4000</v>
      </c>
      <c r="D11" s="12"/>
      <c r="E11" s="12"/>
      <c r="F11" s="14"/>
    </row>
    <row r="12" spans="1:6" ht="18" x14ac:dyDescent="0.35">
      <c r="A12" s="11" t="s">
        <v>311</v>
      </c>
      <c r="B12" s="12"/>
      <c r="C12" s="13">
        <v>8500</v>
      </c>
      <c r="D12" s="12"/>
      <c r="E12" s="12"/>
      <c r="F12" s="14"/>
    </row>
    <row r="13" spans="1:6" ht="18" x14ac:dyDescent="0.35">
      <c r="A13" s="11" t="s">
        <v>312</v>
      </c>
      <c r="B13" s="12"/>
      <c r="C13" s="13">
        <v>2500</v>
      </c>
      <c r="D13" s="12"/>
      <c r="E13" s="12"/>
      <c r="F13" s="14"/>
    </row>
    <row r="14" spans="1:6" ht="18" x14ac:dyDescent="0.35">
      <c r="A14" s="11" t="s">
        <v>313</v>
      </c>
      <c r="B14" s="13">
        <v>5000</v>
      </c>
      <c r="C14" s="24"/>
      <c r="D14" s="12"/>
      <c r="E14" s="12"/>
      <c r="F14" s="14"/>
    </row>
    <row r="15" spans="1:6" ht="18.600000000000001" thickBot="1" x14ac:dyDescent="0.4">
      <c r="A15" s="11" t="s">
        <v>314</v>
      </c>
      <c r="B15" s="28">
        <v>2000</v>
      </c>
      <c r="C15" s="13">
        <v>7000</v>
      </c>
      <c r="D15" s="12"/>
      <c r="E15" s="12"/>
      <c r="F15" s="14"/>
    </row>
    <row r="16" spans="1:6" ht="18" x14ac:dyDescent="0.35">
      <c r="A16" s="11" t="s">
        <v>315</v>
      </c>
      <c r="B16" s="48"/>
      <c r="C16" s="13">
        <v>1667</v>
      </c>
      <c r="D16" s="12"/>
      <c r="E16" s="12"/>
      <c r="F16" s="14"/>
    </row>
    <row r="17" spans="1:6" ht="18" x14ac:dyDescent="0.35">
      <c r="A17" s="11" t="s">
        <v>316</v>
      </c>
      <c r="B17" s="12"/>
      <c r="C17" s="12">
        <v>354</v>
      </c>
      <c r="D17" s="12"/>
      <c r="E17" s="12"/>
      <c r="F17" s="14"/>
    </row>
    <row r="18" spans="1:6" ht="18" x14ac:dyDescent="0.35">
      <c r="A18" s="11" t="s">
        <v>317</v>
      </c>
      <c r="B18" s="12"/>
      <c r="C18" s="13">
        <v>417</v>
      </c>
      <c r="D18" s="12"/>
      <c r="E18" s="12"/>
      <c r="F18" s="14"/>
    </row>
    <row r="19" spans="1:6" ht="18" x14ac:dyDescent="0.35">
      <c r="A19" s="11" t="s">
        <v>318</v>
      </c>
      <c r="B19" s="12"/>
      <c r="C19" s="12">
        <v>333</v>
      </c>
      <c r="D19" s="12"/>
      <c r="E19" s="12"/>
      <c r="F19" s="14"/>
    </row>
    <row r="20" spans="1:6" ht="18" x14ac:dyDescent="0.35">
      <c r="A20" s="11" t="s">
        <v>319</v>
      </c>
      <c r="B20" s="12"/>
      <c r="C20" s="13">
        <v>32729</v>
      </c>
      <c r="D20" s="12"/>
      <c r="E20" s="12"/>
      <c r="F20" s="14"/>
    </row>
    <row r="21" spans="1:6" ht="18.600000000000001" thickBot="1" x14ac:dyDescent="0.4">
      <c r="A21" s="17"/>
      <c r="B21" s="18"/>
      <c r="C21" s="50">
        <v>116500</v>
      </c>
      <c r="D21" s="18"/>
      <c r="E21" s="18"/>
      <c r="F21" s="51">
        <v>116500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6C35C-0201-4D3D-B5B5-E3E7BE385AA5}">
  <dimension ref="A1:Z224"/>
  <sheetViews>
    <sheetView workbookViewId="0">
      <selection activeCell="J13" sqref="J13"/>
    </sheetView>
  </sheetViews>
  <sheetFormatPr defaultRowHeight="14.4" x14ac:dyDescent="0.3"/>
  <cols>
    <col min="1" max="1" width="35.21875" customWidth="1"/>
    <col min="2" max="2" width="18.5546875" customWidth="1"/>
    <col min="3" max="3" width="18.44140625" customWidth="1"/>
    <col min="4" max="4" width="29" customWidth="1"/>
    <col min="5" max="5" width="17.21875" customWidth="1"/>
    <col min="6" max="6" width="17.77734375" customWidth="1"/>
  </cols>
  <sheetData>
    <row r="1" spans="1:26" ht="18" x14ac:dyDescent="0.35">
      <c r="A1" s="55" t="s">
        <v>320</v>
      </c>
      <c r="B1" s="56"/>
      <c r="C1" s="56"/>
      <c r="D1" s="56"/>
      <c r="E1" s="56"/>
      <c r="F1" s="56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8.600000000000001" thickBot="1" x14ac:dyDescent="0.4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8.600000000000001" thickBot="1" x14ac:dyDescent="0.4">
      <c r="A3" s="4" t="s">
        <v>321</v>
      </c>
      <c r="B3" s="5" t="s">
        <v>199</v>
      </c>
      <c r="C3" s="5" t="s">
        <v>199</v>
      </c>
      <c r="D3" s="5" t="s">
        <v>322</v>
      </c>
      <c r="E3" s="5" t="s">
        <v>199</v>
      </c>
      <c r="F3" s="6" t="s">
        <v>199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" x14ac:dyDescent="0.35">
      <c r="A4" s="7" t="s">
        <v>21</v>
      </c>
      <c r="B4" s="9">
        <v>450000</v>
      </c>
      <c r="C4" s="8"/>
      <c r="D4" s="52" t="s">
        <v>323</v>
      </c>
      <c r="E4" s="8"/>
      <c r="F4" s="10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600000000000001" thickBot="1" x14ac:dyDescent="0.4">
      <c r="A5" s="11" t="s">
        <v>324</v>
      </c>
      <c r="B5" s="28">
        <v>32729</v>
      </c>
      <c r="C5" s="12"/>
      <c r="D5" s="12" t="s">
        <v>325</v>
      </c>
      <c r="E5" s="13">
        <v>132000</v>
      </c>
      <c r="F5" s="14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8.600000000000001" thickBot="1" x14ac:dyDescent="0.4">
      <c r="A6" s="11"/>
      <c r="B6" s="53">
        <v>482729</v>
      </c>
      <c r="C6" s="12"/>
      <c r="D6" s="12" t="s">
        <v>12</v>
      </c>
      <c r="E6" s="28">
        <v>47000</v>
      </c>
      <c r="F6" s="16">
        <v>179000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600000000000001" thickBot="1" x14ac:dyDescent="0.4">
      <c r="A7" s="11" t="s">
        <v>326</v>
      </c>
      <c r="B7" s="28">
        <v>12000</v>
      </c>
      <c r="C7" s="13">
        <v>470729</v>
      </c>
      <c r="D7" s="12" t="s">
        <v>327</v>
      </c>
      <c r="E7" s="48"/>
      <c r="F7" s="16">
        <v>4000</v>
      </c>
      <c r="G7" s="3"/>
      <c r="H7" s="41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8" x14ac:dyDescent="0.35">
      <c r="A8" s="49" t="s">
        <v>328</v>
      </c>
      <c r="B8" s="48"/>
      <c r="C8" s="12"/>
      <c r="D8" s="12" t="s">
        <v>329</v>
      </c>
      <c r="E8" s="12"/>
      <c r="F8" s="16">
        <v>55000</v>
      </c>
      <c r="G8" s="3"/>
      <c r="H8" s="41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8" x14ac:dyDescent="0.35">
      <c r="A9" s="11" t="s">
        <v>22</v>
      </c>
      <c r="B9" s="12"/>
      <c r="C9" s="13">
        <v>100000</v>
      </c>
      <c r="D9" s="12" t="s">
        <v>330</v>
      </c>
      <c r="E9" s="12"/>
      <c r="F9" s="16">
        <v>1500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8" x14ac:dyDescent="0.35">
      <c r="A10" s="49" t="s">
        <v>331</v>
      </c>
      <c r="B10" s="12"/>
      <c r="C10" s="12"/>
      <c r="D10" s="12" t="s">
        <v>332</v>
      </c>
      <c r="E10" s="12"/>
      <c r="F10" s="16">
        <v>110000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8" x14ac:dyDescent="0.35">
      <c r="A11" s="11" t="s">
        <v>333</v>
      </c>
      <c r="B11" s="12"/>
      <c r="C11" s="13">
        <v>21000</v>
      </c>
      <c r="D11" s="54" t="s">
        <v>334</v>
      </c>
      <c r="E11" s="12"/>
      <c r="F11" s="1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8" x14ac:dyDescent="0.35">
      <c r="A12" s="11" t="s">
        <v>335</v>
      </c>
      <c r="B12" s="12"/>
      <c r="C12" s="13">
        <v>125000</v>
      </c>
      <c r="D12" s="12" t="s">
        <v>16</v>
      </c>
      <c r="E12" s="13">
        <v>40000</v>
      </c>
      <c r="F12" s="1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8.600000000000001" thickBot="1" x14ac:dyDescent="0.4">
      <c r="A13" s="11" t="s">
        <v>336</v>
      </c>
      <c r="B13" s="12"/>
      <c r="C13" s="13">
        <v>3000</v>
      </c>
      <c r="D13" s="12" t="s">
        <v>337</v>
      </c>
      <c r="E13" s="18">
        <v>333</v>
      </c>
      <c r="F13" s="16">
        <v>39667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8" x14ac:dyDescent="0.35">
      <c r="A14" s="11" t="s">
        <v>338</v>
      </c>
      <c r="B14" s="12"/>
      <c r="C14" s="13">
        <v>2000</v>
      </c>
      <c r="D14" s="12" t="s">
        <v>14</v>
      </c>
      <c r="E14" s="53">
        <v>85000</v>
      </c>
      <c r="F14" s="1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8.600000000000001" thickBot="1" x14ac:dyDescent="0.4">
      <c r="A15" s="11"/>
      <c r="B15" s="12"/>
      <c r="C15" s="12"/>
      <c r="D15" s="12" t="s">
        <v>337</v>
      </c>
      <c r="E15" s="18">
        <v>354</v>
      </c>
      <c r="F15" s="16">
        <v>84646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8" x14ac:dyDescent="0.35">
      <c r="A16" s="11"/>
      <c r="B16" s="12"/>
      <c r="C16" s="12"/>
      <c r="D16" s="12" t="s">
        <v>15</v>
      </c>
      <c r="E16" s="53">
        <v>200000</v>
      </c>
      <c r="F16" s="1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8.600000000000001" thickBot="1" x14ac:dyDescent="0.4">
      <c r="A17" s="11"/>
      <c r="B17" s="12"/>
      <c r="C17" s="12"/>
      <c r="D17" s="12" t="s">
        <v>337</v>
      </c>
      <c r="E17" s="28">
        <v>1667</v>
      </c>
      <c r="F17" s="16">
        <v>198333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8" x14ac:dyDescent="0.35">
      <c r="A18" s="11"/>
      <c r="B18" s="12"/>
      <c r="C18" s="12"/>
      <c r="D18" s="12" t="s">
        <v>339</v>
      </c>
      <c r="E18" s="53">
        <v>50000</v>
      </c>
      <c r="F18" s="1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8.600000000000001" thickBot="1" x14ac:dyDescent="0.4">
      <c r="A19" s="11"/>
      <c r="B19" s="12"/>
      <c r="C19" s="12"/>
      <c r="D19" s="12" t="s">
        <v>337</v>
      </c>
      <c r="E19" s="28">
        <v>417</v>
      </c>
      <c r="F19" s="16">
        <v>49583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8" x14ac:dyDescent="0.35">
      <c r="A20" s="11"/>
      <c r="B20" s="12"/>
      <c r="C20" s="12"/>
      <c r="D20" s="12"/>
      <c r="E20" s="48"/>
      <c r="F20" s="1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8.600000000000001" thickBot="1" x14ac:dyDescent="0.4">
      <c r="A21" s="17"/>
      <c r="B21" s="18"/>
      <c r="C21" s="50">
        <v>721729</v>
      </c>
      <c r="D21" s="18"/>
      <c r="E21" s="18"/>
      <c r="F21" s="51">
        <v>721729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8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8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8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8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8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8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8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8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8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8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8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8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8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8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8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8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8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8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8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8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8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8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8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8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8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8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8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8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8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8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8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8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8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8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8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8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8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8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8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8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8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8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8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8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8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8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8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8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8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8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8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8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8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8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8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8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8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8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8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8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8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8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8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8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8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8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8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8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8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8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8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8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8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8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8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8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8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8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8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8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8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8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8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8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8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8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8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8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8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8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8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8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8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8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8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8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8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8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8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8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8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8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8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8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8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8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8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8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8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8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8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8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8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8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8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8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8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8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8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8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8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8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8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8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8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8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8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8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8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8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8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8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8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8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8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8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8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8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8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8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8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8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8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8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8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8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8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8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8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8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8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8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8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8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8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8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8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8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8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8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8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8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8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8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8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8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8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8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8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8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8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8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8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8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8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8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8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8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8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8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8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8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8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8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8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8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8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8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8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8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8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8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8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8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8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8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8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8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8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8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FFE7A-419B-4297-851D-7E615AB474A7}">
  <dimension ref="A1:Z1000"/>
  <sheetViews>
    <sheetView tabSelected="1" workbookViewId="0">
      <selection activeCell="B10" sqref="B10"/>
    </sheetView>
  </sheetViews>
  <sheetFormatPr defaultColWidth="14.44140625" defaultRowHeight="14.4" x14ac:dyDescent="0.3"/>
  <cols>
    <col min="1" max="1" width="58.44140625" style="62" customWidth="1"/>
    <col min="2" max="2" width="79.44140625" style="62" customWidth="1"/>
    <col min="3" max="3" width="56.33203125" style="62" customWidth="1"/>
    <col min="4" max="4" width="100.6640625" style="62" customWidth="1"/>
    <col min="5" max="26" width="8.6640625" style="62" customWidth="1"/>
    <col min="27" max="16384" width="14.44140625" style="62"/>
  </cols>
  <sheetData>
    <row r="1" spans="1:26" ht="14.25" customHeight="1" x14ac:dyDescent="0.35">
      <c r="A1" s="63" t="s">
        <v>340</v>
      </c>
      <c r="B1" s="64"/>
      <c r="C1" s="65"/>
      <c r="D1" s="66" t="s">
        <v>341</v>
      </c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spans="1:26" ht="14.25" customHeight="1" thickBot="1" x14ac:dyDescent="0.4">
      <c r="A2" s="68" t="s">
        <v>342</v>
      </c>
      <c r="B2" s="69"/>
      <c r="C2" s="70"/>
      <c r="D2" s="71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 ht="14.25" customHeight="1" x14ac:dyDescent="0.35">
      <c r="A3" s="72" t="s">
        <v>343</v>
      </c>
      <c r="B3" s="73" t="s">
        <v>395</v>
      </c>
      <c r="C3" s="65"/>
      <c r="D3" s="74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spans="1:26" ht="14.25" customHeight="1" x14ac:dyDescent="0.35">
      <c r="A4" s="75"/>
      <c r="B4" s="75"/>
      <c r="C4" s="75"/>
      <c r="D4" s="75" t="s">
        <v>344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spans="1:26" ht="14.25" customHeight="1" x14ac:dyDescent="0.35">
      <c r="A5" s="76" t="s">
        <v>345</v>
      </c>
      <c r="B5" s="77" t="s">
        <v>396</v>
      </c>
      <c r="C5" s="78">
        <v>349500</v>
      </c>
      <c r="D5" s="75" t="s">
        <v>397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spans="1:26" ht="14.25" customHeight="1" x14ac:dyDescent="0.35">
      <c r="A6" s="76" t="s">
        <v>346</v>
      </c>
      <c r="B6" s="77" t="s">
        <v>398</v>
      </c>
      <c r="C6" s="78">
        <v>151000</v>
      </c>
      <c r="D6" s="79" t="s">
        <v>347</v>
      </c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spans="1:26" ht="14.25" customHeight="1" thickBot="1" x14ac:dyDescent="0.4">
      <c r="A7" s="80" t="s">
        <v>348</v>
      </c>
      <c r="B7" s="81" t="s">
        <v>399</v>
      </c>
      <c r="C7" s="82">
        <f>C5/C6</f>
        <v>2.314569536423841</v>
      </c>
      <c r="D7" s="83" t="s">
        <v>349</v>
      </c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spans="1:26" ht="14.25" customHeight="1" x14ac:dyDescent="0.35">
      <c r="A8" s="72" t="s">
        <v>350</v>
      </c>
      <c r="B8" s="84" t="s">
        <v>400</v>
      </c>
      <c r="C8" s="65"/>
      <c r="D8" s="75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spans="1:26" ht="14.25" customHeight="1" x14ac:dyDescent="0.35">
      <c r="A9" s="75"/>
      <c r="B9" s="85"/>
      <c r="C9" s="85"/>
      <c r="D9" s="75" t="s">
        <v>351</v>
      </c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spans="1:26" ht="14.25" customHeight="1" x14ac:dyDescent="0.35">
      <c r="A10" s="76" t="s">
        <v>352</v>
      </c>
      <c r="B10" s="86" t="s">
        <v>401</v>
      </c>
      <c r="C10" s="87">
        <v>238000</v>
      </c>
      <c r="D10" s="75" t="s">
        <v>402</v>
      </c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spans="1:26" ht="14.25" customHeight="1" x14ac:dyDescent="0.35">
      <c r="A11" s="76" t="s">
        <v>346</v>
      </c>
      <c r="B11" s="77" t="s">
        <v>398</v>
      </c>
      <c r="C11" s="87">
        <v>151000</v>
      </c>
      <c r="D11" s="75" t="s">
        <v>353</v>
      </c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spans="1:26" ht="14.25" customHeight="1" thickBot="1" x14ac:dyDescent="0.4">
      <c r="A12" s="80" t="s">
        <v>354</v>
      </c>
      <c r="B12" s="88" t="s">
        <v>403</v>
      </c>
      <c r="C12" s="89">
        <f>C10/C11</f>
        <v>1.576158940397351</v>
      </c>
      <c r="D12" s="90" t="s">
        <v>355</v>
      </c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spans="1:26" ht="14.25" customHeight="1" x14ac:dyDescent="0.35">
      <c r="A13" s="72" t="s">
        <v>356</v>
      </c>
      <c r="B13" s="73" t="s">
        <v>404</v>
      </c>
      <c r="C13" s="65"/>
      <c r="D13" s="74" t="s">
        <v>357</v>
      </c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spans="1:26" ht="14.25" customHeight="1" x14ac:dyDescent="0.35">
      <c r="A14" s="75"/>
      <c r="B14" s="91"/>
      <c r="C14" s="91"/>
      <c r="D14" s="92" t="s">
        <v>405</v>
      </c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spans="1:26" ht="14.25" customHeight="1" x14ac:dyDescent="0.35">
      <c r="A15" s="76" t="s">
        <v>358</v>
      </c>
      <c r="B15" s="93" t="s">
        <v>406</v>
      </c>
      <c r="C15" s="94">
        <v>179000</v>
      </c>
      <c r="D15" s="75" t="s">
        <v>359</v>
      </c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26" ht="14.25" customHeight="1" x14ac:dyDescent="0.35">
      <c r="A16" s="76" t="s">
        <v>346</v>
      </c>
      <c r="B16" s="77" t="s">
        <v>398</v>
      </c>
      <c r="C16" s="94">
        <v>151000</v>
      </c>
      <c r="D16" s="75" t="s">
        <v>360</v>
      </c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 spans="1:26" ht="14.25" customHeight="1" thickBot="1" x14ac:dyDescent="0.4">
      <c r="A17" s="80" t="s">
        <v>361</v>
      </c>
      <c r="B17" s="95" t="s">
        <v>407</v>
      </c>
      <c r="C17" s="96">
        <f>C15/C16</f>
        <v>1.185430463576159</v>
      </c>
      <c r="D17" s="90" t="s">
        <v>362</v>
      </c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 spans="1:26" ht="14.25" customHeight="1" x14ac:dyDescent="0.35">
      <c r="A18" s="97" t="s">
        <v>363</v>
      </c>
      <c r="B18" s="73" t="s">
        <v>408</v>
      </c>
      <c r="C18" s="65"/>
      <c r="D18" s="75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spans="1:26" ht="14.25" customHeight="1" x14ac:dyDescent="0.35">
      <c r="A19" s="75"/>
      <c r="B19" s="75"/>
      <c r="C19" s="75"/>
      <c r="D19" s="75" t="s">
        <v>351</v>
      </c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 spans="1:26" ht="14.25" customHeight="1" x14ac:dyDescent="0.35">
      <c r="A20" s="76" t="s">
        <v>364</v>
      </c>
      <c r="B20" s="93" t="s">
        <v>409</v>
      </c>
      <c r="C20" s="78">
        <v>251000</v>
      </c>
      <c r="D20" s="75" t="s">
        <v>410</v>
      </c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 spans="1:26" ht="14.25" customHeight="1" x14ac:dyDescent="0.35">
      <c r="A21" s="76" t="s">
        <v>365</v>
      </c>
      <c r="B21" s="77" t="s">
        <v>411</v>
      </c>
      <c r="C21" s="78">
        <v>470729</v>
      </c>
      <c r="D21" s="75" t="s">
        <v>366</v>
      </c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spans="1:26" ht="14.25" customHeight="1" thickBot="1" x14ac:dyDescent="0.4">
      <c r="A22" s="76" t="s">
        <v>367</v>
      </c>
      <c r="B22" s="81" t="s">
        <v>412</v>
      </c>
      <c r="C22" s="98">
        <f>C20/C21</f>
        <v>0.53321550191299028</v>
      </c>
      <c r="D22" s="90" t="s">
        <v>368</v>
      </c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spans="1:26" ht="14.25" customHeight="1" x14ac:dyDescent="0.35">
      <c r="A23" s="72" t="s">
        <v>369</v>
      </c>
      <c r="B23" s="73" t="s">
        <v>413</v>
      </c>
      <c r="C23" s="65"/>
      <c r="D23" s="75" t="s">
        <v>370</v>
      </c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spans="1:26" ht="14.25" customHeight="1" x14ac:dyDescent="0.35">
      <c r="A24" s="75"/>
      <c r="B24" s="75"/>
      <c r="C24" s="75"/>
      <c r="D24" s="75" t="s">
        <v>414</v>
      </c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spans="1:26" ht="14.25" customHeight="1" x14ac:dyDescent="0.35">
      <c r="A25" s="76" t="s">
        <v>364</v>
      </c>
      <c r="B25" s="93" t="s">
        <v>409</v>
      </c>
      <c r="C25" s="78">
        <v>251000</v>
      </c>
      <c r="D25" s="75" t="s">
        <v>371</v>
      </c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spans="1:26" ht="14.25" customHeight="1" x14ac:dyDescent="0.35">
      <c r="A26" s="76" t="s">
        <v>372</v>
      </c>
      <c r="B26" s="77" t="s">
        <v>415</v>
      </c>
      <c r="C26" s="78">
        <v>721729</v>
      </c>
      <c r="D26" s="75" t="s">
        <v>373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spans="1:26" ht="14.25" customHeight="1" thickBot="1" x14ac:dyDescent="0.4">
      <c r="A27" s="80" t="s">
        <v>374</v>
      </c>
      <c r="B27" s="77" t="s">
        <v>416</v>
      </c>
      <c r="C27" s="99">
        <f>C25/C26</f>
        <v>0.34777596577108583</v>
      </c>
      <c r="D27" s="75" t="s">
        <v>375</v>
      </c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spans="1:26" ht="14.25" customHeight="1" x14ac:dyDescent="0.35">
      <c r="A28" s="97" t="s">
        <v>376</v>
      </c>
      <c r="B28" s="73" t="s">
        <v>417</v>
      </c>
      <c r="C28" s="65"/>
      <c r="D28" s="74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spans="1:26" ht="14.25" customHeight="1" x14ac:dyDescent="0.35">
      <c r="A29" s="75"/>
      <c r="B29" s="75"/>
      <c r="C29" s="75"/>
      <c r="D29" s="75" t="s">
        <v>377</v>
      </c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spans="1:26" ht="14.25" customHeight="1" x14ac:dyDescent="0.35">
      <c r="A30" s="76" t="s">
        <v>378</v>
      </c>
      <c r="B30" s="77" t="s">
        <v>418</v>
      </c>
      <c r="C30" s="78">
        <v>345000</v>
      </c>
      <c r="D30" s="75" t="s">
        <v>419</v>
      </c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spans="1:26" ht="14.25" customHeight="1" x14ac:dyDescent="0.35">
      <c r="A31" s="76" t="s">
        <v>372</v>
      </c>
      <c r="B31" s="77" t="s">
        <v>415</v>
      </c>
      <c r="C31" s="78">
        <v>721729</v>
      </c>
      <c r="D31" s="75" t="s">
        <v>379</v>
      </c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spans="1:26" ht="14.25" customHeight="1" thickBot="1" x14ac:dyDescent="0.4">
      <c r="A32" s="76" t="s">
        <v>380</v>
      </c>
      <c r="B32" s="81" t="s">
        <v>420</v>
      </c>
      <c r="C32" s="98">
        <f>C30/C31</f>
        <v>0.47801875773316577</v>
      </c>
      <c r="D32" s="90" t="s">
        <v>381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spans="1:26" ht="14.25" customHeight="1" x14ac:dyDescent="0.35">
      <c r="A33" s="72" t="s">
        <v>382</v>
      </c>
      <c r="B33" s="73" t="s">
        <v>421</v>
      </c>
      <c r="C33" s="65"/>
      <c r="D33" s="75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spans="1:26" ht="14.25" customHeight="1" x14ac:dyDescent="0.35">
      <c r="A34" s="75"/>
      <c r="B34" s="75"/>
      <c r="C34" s="75"/>
      <c r="D34" s="75" t="s">
        <v>383</v>
      </c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spans="1:26" ht="14.25" customHeight="1" x14ac:dyDescent="0.35">
      <c r="A35" s="76" t="s">
        <v>378</v>
      </c>
      <c r="B35" s="77" t="s">
        <v>418</v>
      </c>
      <c r="C35" s="78">
        <v>345000</v>
      </c>
      <c r="D35" s="92" t="s">
        <v>422</v>
      </c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spans="1:26" ht="14.25" customHeight="1" x14ac:dyDescent="0.35">
      <c r="A36" s="76" t="s">
        <v>384</v>
      </c>
      <c r="B36" s="77" t="s">
        <v>423</v>
      </c>
      <c r="C36" s="78">
        <f>C5-C6</f>
        <v>198500</v>
      </c>
      <c r="D36" s="75" t="s">
        <v>385</v>
      </c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spans="1:26" ht="14.25" customHeight="1" thickBot="1" x14ac:dyDescent="0.4">
      <c r="A37" s="80" t="s">
        <v>386</v>
      </c>
      <c r="B37" s="81" t="s">
        <v>424</v>
      </c>
      <c r="C37" s="98">
        <f>C35/C36</f>
        <v>1.7380352644836272</v>
      </c>
      <c r="D37" s="90" t="s">
        <v>387</v>
      </c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spans="1:26" ht="14.25" customHeight="1" x14ac:dyDescent="0.35">
      <c r="A38" s="100" t="s">
        <v>388</v>
      </c>
      <c r="B38" s="101" t="s">
        <v>425</v>
      </c>
      <c r="C38" s="65"/>
      <c r="D38" s="102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spans="1:26" ht="14.25" customHeight="1" x14ac:dyDescent="0.35">
      <c r="A39" s="79"/>
      <c r="B39" s="79"/>
      <c r="C39" s="79"/>
      <c r="D39" s="103" t="s">
        <v>389</v>
      </c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spans="1:26" ht="14.25" customHeight="1" x14ac:dyDescent="0.35">
      <c r="A40" s="104" t="s">
        <v>390</v>
      </c>
      <c r="B40" s="105" t="s">
        <v>426</v>
      </c>
      <c r="C40" s="106">
        <v>247500</v>
      </c>
      <c r="D40" s="107" t="s">
        <v>427</v>
      </c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spans="1:26" ht="14.25" customHeight="1" x14ac:dyDescent="0.35">
      <c r="A41" s="104" t="s">
        <v>391</v>
      </c>
      <c r="B41" s="105" t="s">
        <v>428</v>
      </c>
      <c r="C41" s="106">
        <v>100000</v>
      </c>
      <c r="D41" s="103" t="s">
        <v>392</v>
      </c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spans="1:26" ht="14.25" customHeight="1" thickBot="1" x14ac:dyDescent="0.4">
      <c r="A42" s="108" t="s">
        <v>393</v>
      </c>
      <c r="B42" s="109" t="s">
        <v>429</v>
      </c>
      <c r="C42" s="110">
        <f>C40/C41</f>
        <v>2.4750000000000001</v>
      </c>
      <c r="D42" s="111" t="s">
        <v>394</v>
      </c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spans="1:26" ht="14.25" customHeight="1" x14ac:dyDescent="0.35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spans="1:26" ht="14.25" customHeight="1" x14ac:dyDescent="0.3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spans="1:26" ht="14.25" customHeight="1" x14ac:dyDescent="0.35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spans="1:26" ht="14.25" customHeight="1" x14ac:dyDescent="0.35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spans="1:26" ht="14.25" customHeight="1" x14ac:dyDescent="0.35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spans="1:26" ht="14.25" customHeight="1" x14ac:dyDescent="0.35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spans="1:26" ht="14.25" customHeight="1" x14ac:dyDescent="0.35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spans="1:26" ht="14.25" customHeight="1" x14ac:dyDescent="0.35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spans="1:26" ht="14.25" customHeight="1" x14ac:dyDescent="0.35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spans="1:26" ht="14.25" customHeight="1" x14ac:dyDescent="0.35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spans="1:26" ht="14.25" customHeight="1" x14ac:dyDescent="0.35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spans="1:26" ht="14.25" customHeight="1" x14ac:dyDescent="0.35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spans="1:26" ht="14.25" customHeight="1" x14ac:dyDescent="0.35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spans="1:26" ht="14.25" customHeight="1" x14ac:dyDescent="0.35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spans="1:26" ht="14.25" customHeight="1" x14ac:dyDescent="0.35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spans="1:26" ht="14.25" customHeight="1" x14ac:dyDescent="0.35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spans="1:26" ht="14.25" customHeight="1" x14ac:dyDescent="0.35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spans="1:26" ht="14.25" customHeight="1" x14ac:dyDescent="0.35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spans="1:26" ht="14.25" customHeight="1" x14ac:dyDescent="0.35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 spans="1:26" ht="14.25" customHeight="1" x14ac:dyDescent="0.35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 spans="1:26" ht="14.25" customHeight="1" x14ac:dyDescent="0.35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 spans="1:26" ht="14.25" customHeight="1" x14ac:dyDescent="0.35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 spans="1:26" ht="14.25" customHeight="1" x14ac:dyDescent="0.35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 spans="1:26" ht="14.25" customHeight="1" x14ac:dyDescent="0.35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 spans="1:26" ht="14.25" customHeight="1" x14ac:dyDescent="0.35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 spans="1:26" ht="14.25" customHeight="1" x14ac:dyDescent="0.35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 spans="1:26" ht="14.25" customHeight="1" x14ac:dyDescent="0.3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 spans="1:26" ht="14.25" customHeight="1" x14ac:dyDescent="0.3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 spans="1:26" ht="14.25" customHeight="1" x14ac:dyDescent="0.35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 spans="1:26" ht="14.25" customHeight="1" x14ac:dyDescent="0.35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 spans="1:26" ht="14.25" customHeight="1" x14ac:dyDescent="0.35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 spans="1:26" ht="14.25" customHeight="1" x14ac:dyDescent="0.35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 spans="1:26" ht="14.25" customHeight="1" x14ac:dyDescent="0.35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 spans="1:26" ht="14.25" customHeight="1" x14ac:dyDescent="0.35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 spans="1:26" ht="14.25" customHeight="1" x14ac:dyDescent="0.35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 spans="1:26" ht="14.25" customHeight="1" x14ac:dyDescent="0.35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 spans="1:26" ht="14.25" customHeight="1" x14ac:dyDescent="0.35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 spans="1:26" ht="14.25" customHeight="1" x14ac:dyDescent="0.35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 spans="1:26" ht="14.25" customHeight="1" x14ac:dyDescent="0.35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 spans="1:26" ht="14.25" customHeight="1" x14ac:dyDescent="0.35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 spans="1:26" ht="14.25" customHeight="1" x14ac:dyDescent="0.35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 spans="1:26" ht="14.25" customHeight="1" x14ac:dyDescent="0.35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 spans="1:26" ht="14.25" customHeight="1" x14ac:dyDescent="0.35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 spans="1:26" ht="14.25" customHeight="1" x14ac:dyDescent="0.35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 spans="1:26" ht="14.25" customHeight="1" x14ac:dyDescent="0.35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 spans="1:26" ht="14.25" customHeight="1" x14ac:dyDescent="0.35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 spans="1:26" ht="14.25" customHeight="1" x14ac:dyDescent="0.35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 spans="1:26" ht="14.25" customHeight="1" x14ac:dyDescent="0.35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 spans="1:26" ht="14.25" customHeight="1" x14ac:dyDescent="0.35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 spans="1:26" ht="14.25" customHeight="1" x14ac:dyDescent="0.35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 spans="1:26" ht="14.25" customHeight="1" x14ac:dyDescent="0.35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 spans="1:26" ht="14.25" customHeight="1" x14ac:dyDescent="0.35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 spans="1:26" ht="14.25" customHeight="1" x14ac:dyDescent="0.35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 spans="1:26" ht="14.25" customHeight="1" x14ac:dyDescent="0.35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 spans="1:26" ht="14.25" customHeight="1" x14ac:dyDescent="0.35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 spans="1:26" ht="14.25" customHeight="1" x14ac:dyDescent="0.35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 spans="1:26" ht="14.25" customHeight="1" x14ac:dyDescent="0.35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 spans="1:26" ht="14.25" customHeight="1" x14ac:dyDescent="0.35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</row>
    <row r="101" spans="1:26" ht="14.25" customHeight="1" x14ac:dyDescent="0.35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</row>
    <row r="102" spans="1:26" ht="14.25" customHeight="1" x14ac:dyDescent="0.35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</row>
    <row r="103" spans="1:26" ht="14.25" customHeight="1" x14ac:dyDescent="0.35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</row>
    <row r="104" spans="1:26" ht="14.25" customHeight="1" x14ac:dyDescent="0.35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</row>
    <row r="105" spans="1:26" ht="14.25" customHeight="1" x14ac:dyDescent="0.35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</row>
    <row r="106" spans="1:26" ht="14.25" customHeight="1" x14ac:dyDescent="0.35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</row>
    <row r="107" spans="1:26" ht="14.25" customHeight="1" x14ac:dyDescent="0.35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</row>
    <row r="108" spans="1:26" ht="14.25" customHeight="1" x14ac:dyDescent="0.35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09" spans="1:26" ht="14.25" customHeight="1" x14ac:dyDescent="0.35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</row>
    <row r="110" spans="1:26" ht="14.25" customHeight="1" x14ac:dyDescent="0.35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</row>
    <row r="111" spans="1:26" ht="14.25" customHeight="1" x14ac:dyDescent="0.35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</row>
    <row r="112" spans="1:26" ht="14.25" customHeight="1" x14ac:dyDescent="0.35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 spans="1:26" ht="14.25" customHeight="1" x14ac:dyDescent="0.35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 spans="1:26" ht="14.25" customHeight="1" x14ac:dyDescent="0.35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 spans="1:26" ht="14.25" customHeight="1" x14ac:dyDescent="0.35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 spans="1:26" ht="14.25" customHeight="1" x14ac:dyDescent="0.35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 spans="1:26" ht="14.25" customHeight="1" x14ac:dyDescent="0.35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 spans="1:26" ht="14.25" customHeight="1" x14ac:dyDescent="0.35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 spans="1:26" ht="14.25" customHeight="1" x14ac:dyDescent="0.35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 spans="1:26" ht="14.25" customHeight="1" x14ac:dyDescent="0.35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 spans="1:26" ht="14.25" customHeight="1" x14ac:dyDescent="0.35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 spans="1:26" ht="14.25" customHeight="1" x14ac:dyDescent="0.35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 spans="1:26" ht="14.25" customHeight="1" x14ac:dyDescent="0.35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 spans="1:26" ht="14.25" customHeight="1" x14ac:dyDescent="0.35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 spans="1:26" ht="14.25" customHeight="1" x14ac:dyDescent="0.35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 spans="1:26" ht="14.25" customHeight="1" x14ac:dyDescent="0.35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 spans="1:26" ht="14.25" customHeight="1" x14ac:dyDescent="0.35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 spans="1:26" ht="14.25" customHeight="1" x14ac:dyDescent="0.35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 spans="1:26" ht="14.25" customHeight="1" x14ac:dyDescent="0.35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 spans="1:26" ht="14.25" customHeight="1" x14ac:dyDescent="0.35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 spans="1:26" ht="14.25" customHeight="1" x14ac:dyDescent="0.35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 spans="1:26" ht="14.25" customHeight="1" x14ac:dyDescent="0.35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 spans="1:26" ht="14.25" customHeight="1" x14ac:dyDescent="0.35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 spans="1:26" ht="14.25" customHeight="1" x14ac:dyDescent="0.35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 spans="1:26" ht="14.25" customHeight="1" x14ac:dyDescent="0.35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 spans="1:26" ht="14.25" customHeight="1" x14ac:dyDescent="0.35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 spans="1:26" ht="14.25" customHeight="1" x14ac:dyDescent="0.35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 spans="1:26" ht="14.25" customHeight="1" x14ac:dyDescent="0.35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 spans="1:26" ht="14.25" customHeight="1" x14ac:dyDescent="0.35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 spans="1:26" ht="14.25" customHeight="1" x14ac:dyDescent="0.35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 spans="1:26" ht="14.25" customHeight="1" x14ac:dyDescent="0.35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 spans="1:26" ht="14.25" customHeight="1" x14ac:dyDescent="0.35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 spans="1:26" ht="14.25" customHeight="1" x14ac:dyDescent="0.35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 spans="1:26" ht="14.25" customHeight="1" x14ac:dyDescent="0.35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 spans="1:26" ht="14.25" customHeight="1" x14ac:dyDescent="0.35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 spans="1:26" ht="14.25" customHeight="1" x14ac:dyDescent="0.35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 spans="1:26" ht="14.25" customHeight="1" x14ac:dyDescent="0.35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 spans="1:26" ht="14.25" customHeight="1" x14ac:dyDescent="0.35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 spans="1:26" ht="14.25" customHeight="1" x14ac:dyDescent="0.35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 spans="1:26" ht="14.25" customHeight="1" x14ac:dyDescent="0.35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 spans="1:26" ht="14.25" customHeight="1" x14ac:dyDescent="0.35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 spans="1:26" ht="14.25" customHeight="1" x14ac:dyDescent="0.35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 spans="1:26" ht="14.25" customHeight="1" x14ac:dyDescent="0.35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 spans="1:26" ht="14.25" customHeight="1" x14ac:dyDescent="0.35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 spans="1:26" ht="14.25" customHeight="1" x14ac:dyDescent="0.35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 spans="1:26" ht="14.25" customHeight="1" x14ac:dyDescent="0.35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 spans="1:26" ht="14.25" customHeight="1" x14ac:dyDescent="0.35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 spans="1:26" ht="14.25" customHeight="1" x14ac:dyDescent="0.35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 spans="1:26" ht="14.25" customHeight="1" x14ac:dyDescent="0.35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 spans="1:26" ht="14.25" customHeight="1" x14ac:dyDescent="0.35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 spans="1:26" ht="14.25" customHeight="1" x14ac:dyDescent="0.35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 spans="1:26" ht="14.25" customHeight="1" x14ac:dyDescent="0.35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 spans="1:26" ht="14.25" customHeight="1" x14ac:dyDescent="0.35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 spans="1:26" ht="14.25" customHeight="1" x14ac:dyDescent="0.35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 spans="1:26" ht="14.25" customHeight="1" x14ac:dyDescent="0.35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 spans="1:26" ht="14.25" customHeight="1" x14ac:dyDescent="0.35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 spans="1:26" ht="14.25" customHeight="1" x14ac:dyDescent="0.35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 spans="1:26" ht="14.25" customHeight="1" x14ac:dyDescent="0.35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 spans="1:26" ht="14.25" customHeight="1" x14ac:dyDescent="0.35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spans="1:26" ht="14.25" customHeight="1" x14ac:dyDescent="0.35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spans="1:26" ht="14.25" customHeight="1" x14ac:dyDescent="0.35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spans="1:26" ht="14.25" customHeight="1" x14ac:dyDescent="0.35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spans="1:26" ht="14.25" customHeight="1" x14ac:dyDescent="0.35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spans="1:26" ht="14.25" customHeight="1" x14ac:dyDescent="0.35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spans="1:26" ht="14.25" customHeight="1" x14ac:dyDescent="0.35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spans="1:26" ht="14.25" customHeight="1" x14ac:dyDescent="0.35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spans="1:26" ht="14.25" customHeight="1" x14ac:dyDescent="0.35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spans="1:26" ht="14.25" customHeight="1" x14ac:dyDescent="0.35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spans="1:26" ht="14.25" customHeight="1" x14ac:dyDescent="0.35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spans="1:26" ht="14.25" customHeight="1" x14ac:dyDescent="0.35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spans="1:26" ht="14.25" customHeight="1" x14ac:dyDescent="0.35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spans="1:26" ht="14.25" customHeight="1" x14ac:dyDescent="0.35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spans="1:26" ht="14.25" customHeight="1" x14ac:dyDescent="0.35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spans="1:26" ht="14.25" customHeight="1" x14ac:dyDescent="0.35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spans="1:26" ht="14.25" customHeight="1" x14ac:dyDescent="0.35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spans="1:26" ht="14.25" customHeight="1" x14ac:dyDescent="0.35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spans="1:26" ht="14.25" customHeight="1" x14ac:dyDescent="0.35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spans="1:26" ht="14.25" customHeight="1" x14ac:dyDescent="0.35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spans="1:26" ht="14.25" customHeight="1" x14ac:dyDescent="0.35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spans="1:26" ht="14.25" customHeight="1" x14ac:dyDescent="0.35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spans="1:26" ht="14.25" customHeight="1" x14ac:dyDescent="0.35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spans="1:26" ht="14.25" customHeight="1" x14ac:dyDescent="0.35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spans="1:26" ht="14.25" customHeight="1" x14ac:dyDescent="0.35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spans="1:26" ht="14.25" customHeight="1" x14ac:dyDescent="0.35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spans="1:26" ht="14.25" customHeight="1" x14ac:dyDescent="0.35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spans="1:26" ht="14.25" customHeight="1" x14ac:dyDescent="0.35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spans="1:26" ht="14.25" customHeight="1" x14ac:dyDescent="0.35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spans="1:26" ht="14.25" customHeight="1" x14ac:dyDescent="0.35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spans="1:26" ht="14.25" customHeight="1" x14ac:dyDescent="0.35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spans="1:26" ht="14.25" customHeight="1" x14ac:dyDescent="0.35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spans="1:26" ht="14.25" customHeight="1" x14ac:dyDescent="0.35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spans="1:26" ht="14.25" customHeight="1" x14ac:dyDescent="0.35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spans="1:26" ht="14.25" customHeight="1" x14ac:dyDescent="0.35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spans="1:26" ht="14.25" customHeight="1" x14ac:dyDescent="0.35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spans="1:26" ht="14.25" customHeight="1" x14ac:dyDescent="0.35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spans="1:26" ht="14.25" customHeight="1" x14ac:dyDescent="0.35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spans="1:26" ht="14.25" customHeight="1" x14ac:dyDescent="0.35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spans="1:26" ht="14.25" customHeight="1" x14ac:dyDescent="0.35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spans="1:26" ht="14.25" customHeight="1" x14ac:dyDescent="0.35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spans="1:26" ht="14.25" customHeight="1" x14ac:dyDescent="0.35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spans="1:26" ht="14.25" customHeight="1" x14ac:dyDescent="0.35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spans="1:26" ht="14.25" customHeight="1" x14ac:dyDescent="0.35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spans="1:26" ht="14.25" customHeight="1" x14ac:dyDescent="0.35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spans="1:26" ht="14.25" customHeight="1" x14ac:dyDescent="0.35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spans="1:26" ht="14.25" customHeight="1" x14ac:dyDescent="0.35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spans="1:26" ht="14.25" customHeight="1" x14ac:dyDescent="0.35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spans="1:26" ht="14.25" customHeight="1" x14ac:dyDescent="0.35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spans="1:26" ht="14.25" customHeight="1" x14ac:dyDescent="0.35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spans="1:26" ht="14.25" customHeight="1" x14ac:dyDescent="0.35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spans="1:26" ht="14.25" customHeight="1" x14ac:dyDescent="0.35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spans="1:26" ht="14.25" customHeight="1" x14ac:dyDescent="0.35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spans="1:26" ht="14.25" customHeight="1" x14ac:dyDescent="0.35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spans="1:26" ht="14.25" customHeight="1" x14ac:dyDescent="0.35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spans="1:26" ht="14.25" customHeight="1" x14ac:dyDescent="0.35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spans="1:26" ht="14.25" customHeight="1" x14ac:dyDescent="0.35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spans="1:26" ht="14.25" customHeight="1" x14ac:dyDescent="0.35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spans="1:26" ht="14.25" customHeight="1" x14ac:dyDescent="0.35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spans="1:26" ht="14.25" customHeight="1" x14ac:dyDescent="0.35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spans="1:26" ht="14.25" customHeight="1" x14ac:dyDescent="0.35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spans="1:26" ht="14.25" customHeight="1" x14ac:dyDescent="0.35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spans="1:26" ht="14.25" customHeight="1" x14ac:dyDescent="0.35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spans="1:26" ht="14.25" customHeight="1" x14ac:dyDescent="0.35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spans="1:26" ht="14.25" customHeight="1" x14ac:dyDescent="0.35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spans="1:26" ht="14.25" customHeight="1" x14ac:dyDescent="0.35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spans="1:26" ht="14.25" customHeight="1" x14ac:dyDescent="0.35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spans="1:26" ht="14.25" customHeight="1" x14ac:dyDescent="0.35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spans="1:26" ht="14.25" customHeight="1" x14ac:dyDescent="0.35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spans="1:26" ht="14.25" customHeight="1" x14ac:dyDescent="0.35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spans="1:26" ht="14.25" customHeight="1" x14ac:dyDescent="0.35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spans="1:26" ht="14.25" customHeight="1" x14ac:dyDescent="0.35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spans="1:26" ht="14.25" customHeight="1" x14ac:dyDescent="0.35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spans="1:26" ht="14.25" customHeight="1" x14ac:dyDescent="0.35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spans="1:26" ht="14.25" customHeight="1" x14ac:dyDescent="0.3"/>
    <row r="244" spans="1:26" ht="14.25" customHeight="1" x14ac:dyDescent="0.3"/>
    <row r="245" spans="1:26" ht="14.25" customHeight="1" x14ac:dyDescent="0.3"/>
    <row r="246" spans="1:26" ht="14.25" customHeight="1" x14ac:dyDescent="0.3"/>
    <row r="247" spans="1:26" ht="14.25" customHeight="1" x14ac:dyDescent="0.3"/>
    <row r="248" spans="1:26" ht="14.25" customHeight="1" x14ac:dyDescent="0.3"/>
    <row r="249" spans="1:26" ht="14.25" customHeight="1" x14ac:dyDescent="0.3"/>
    <row r="250" spans="1:26" ht="14.25" customHeight="1" x14ac:dyDescent="0.3"/>
    <row r="251" spans="1:26" ht="14.25" customHeight="1" x14ac:dyDescent="0.3"/>
    <row r="252" spans="1:26" ht="14.25" customHeight="1" x14ac:dyDescent="0.3"/>
    <row r="253" spans="1:26" ht="14.25" customHeight="1" x14ac:dyDescent="0.3"/>
    <row r="254" spans="1:26" ht="14.25" customHeight="1" x14ac:dyDescent="0.3"/>
    <row r="255" spans="1:26" ht="14.25" customHeight="1" x14ac:dyDescent="0.3"/>
    <row r="256" spans="1:26" ht="14.25" customHeight="1" x14ac:dyDescent="0.3"/>
    <row r="257" s="62" customFormat="1" ht="14.25" customHeight="1" x14ac:dyDescent="0.3"/>
    <row r="258" s="62" customFormat="1" ht="14.25" customHeight="1" x14ac:dyDescent="0.3"/>
    <row r="259" s="62" customFormat="1" ht="14.25" customHeight="1" x14ac:dyDescent="0.3"/>
    <row r="260" s="62" customFormat="1" ht="14.25" customHeight="1" x14ac:dyDescent="0.3"/>
    <row r="261" s="62" customFormat="1" ht="14.25" customHeight="1" x14ac:dyDescent="0.3"/>
    <row r="262" s="62" customFormat="1" ht="14.25" customHeight="1" x14ac:dyDescent="0.3"/>
    <row r="263" s="62" customFormat="1" ht="14.25" customHeight="1" x14ac:dyDescent="0.3"/>
    <row r="264" s="62" customFormat="1" ht="14.25" customHeight="1" x14ac:dyDescent="0.3"/>
    <row r="265" s="62" customFormat="1" ht="14.25" customHeight="1" x14ac:dyDescent="0.3"/>
    <row r="266" s="62" customFormat="1" ht="14.25" customHeight="1" x14ac:dyDescent="0.3"/>
    <row r="267" s="62" customFormat="1" ht="14.25" customHeight="1" x14ac:dyDescent="0.3"/>
    <row r="268" s="62" customFormat="1" ht="14.25" customHeight="1" x14ac:dyDescent="0.3"/>
    <row r="269" s="62" customFormat="1" ht="14.25" customHeight="1" x14ac:dyDescent="0.3"/>
    <row r="270" s="62" customFormat="1" ht="14.25" customHeight="1" x14ac:dyDescent="0.3"/>
    <row r="271" s="62" customFormat="1" ht="14.25" customHeight="1" x14ac:dyDescent="0.3"/>
    <row r="272" s="62" customFormat="1" ht="14.25" customHeight="1" x14ac:dyDescent="0.3"/>
    <row r="273" s="62" customFormat="1" ht="14.25" customHeight="1" x14ac:dyDescent="0.3"/>
    <row r="274" s="62" customFormat="1" ht="14.25" customHeight="1" x14ac:dyDescent="0.3"/>
    <row r="275" s="62" customFormat="1" ht="14.25" customHeight="1" x14ac:dyDescent="0.3"/>
    <row r="276" s="62" customFormat="1" ht="14.25" customHeight="1" x14ac:dyDescent="0.3"/>
    <row r="277" s="62" customFormat="1" ht="14.25" customHeight="1" x14ac:dyDescent="0.3"/>
    <row r="278" s="62" customFormat="1" ht="14.25" customHeight="1" x14ac:dyDescent="0.3"/>
    <row r="279" s="62" customFormat="1" ht="14.25" customHeight="1" x14ac:dyDescent="0.3"/>
    <row r="280" s="62" customFormat="1" ht="14.25" customHeight="1" x14ac:dyDescent="0.3"/>
    <row r="281" s="62" customFormat="1" ht="14.25" customHeight="1" x14ac:dyDescent="0.3"/>
    <row r="282" s="62" customFormat="1" ht="14.25" customHeight="1" x14ac:dyDescent="0.3"/>
    <row r="283" s="62" customFormat="1" ht="14.25" customHeight="1" x14ac:dyDescent="0.3"/>
    <row r="284" s="62" customFormat="1" ht="14.25" customHeight="1" x14ac:dyDescent="0.3"/>
    <row r="285" s="62" customFormat="1" ht="14.25" customHeight="1" x14ac:dyDescent="0.3"/>
    <row r="286" s="62" customFormat="1" ht="14.25" customHeight="1" x14ac:dyDescent="0.3"/>
    <row r="287" s="62" customFormat="1" ht="14.25" customHeight="1" x14ac:dyDescent="0.3"/>
    <row r="288" s="62" customFormat="1" ht="14.25" customHeight="1" x14ac:dyDescent="0.3"/>
    <row r="289" s="62" customFormat="1" ht="14.25" customHeight="1" x14ac:dyDescent="0.3"/>
    <row r="290" s="62" customFormat="1" ht="14.25" customHeight="1" x14ac:dyDescent="0.3"/>
    <row r="291" s="62" customFormat="1" ht="14.25" customHeight="1" x14ac:dyDescent="0.3"/>
    <row r="292" s="62" customFormat="1" ht="14.25" customHeight="1" x14ac:dyDescent="0.3"/>
    <row r="293" s="62" customFormat="1" ht="14.25" customHeight="1" x14ac:dyDescent="0.3"/>
    <row r="294" s="62" customFormat="1" ht="14.25" customHeight="1" x14ac:dyDescent="0.3"/>
    <row r="295" s="62" customFormat="1" ht="14.25" customHeight="1" x14ac:dyDescent="0.3"/>
    <row r="296" s="62" customFormat="1" ht="14.25" customHeight="1" x14ac:dyDescent="0.3"/>
    <row r="297" s="62" customFormat="1" ht="14.25" customHeight="1" x14ac:dyDescent="0.3"/>
    <row r="298" s="62" customFormat="1" ht="14.25" customHeight="1" x14ac:dyDescent="0.3"/>
    <row r="299" s="62" customFormat="1" ht="14.25" customHeight="1" x14ac:dyDescent="0.3"/>
    <row r="300" s="62" customFormat="1" ht="14.25" customHeight="1" x14ac:dyDescent="0.3"/>
    <row r="301" s="62" customFormat="1" ht="14.25" customHeight="1" x14ac:dyDescent="0.3"/>
    <row r="302" s="62" customFormat="1" ht="14.25" customHeight="1" x14ac:dyDescent="0.3"/>
    <row r="303" s="62" customFormat="1" ht="14.25" customHeight="1" x14ac:dyDescent="0.3"/>
    <row r="304" s="62" customFormat="1" ht="14.25" customHeight="1" x14ac:dyDescent="0.3"/>
    <row r="305" s="62" customFormat="1" ht="14.25" customHeight="1" x14ac:dyDescent="0.3"/>
    <row r="306" s="62" customFormat="1" ht="14.25" customHeight="1" x14ac:dyDescent="0.3"/>
    <row r="307" s="62" customFormat="1" ht="14.25" customHeight="1" x14ac:dyDescent="0.3"/>
    <row r="308" s="62" customFormat="1" ht="14.25" customHeight="1" x14ac:dyDescent="0.3"/>
    <row r="309" s="62" customFormat="1" ht="14.25" customHeight="1" x14ac:dyDescent="0.3"/>
    <row r="310" s="62" customFormat="1" ht="14.25" customHeight="1" x14ac:dyDescent="0.3"/>
    <row r="311" s="62" customFormat="1" ht="14.25" customHeight="1" x14ac:dyDescent="0.3"/>
    <row r="312" s="62" customFormat="1" ht="14.25" customHeight="1" x14ac:dyDescent="0.3"/>
    <row r="313" s="62" customFormat="1" ht="14.25" customHeight="1" x14ac:dyDescent="0.3"/>
    <row r="314" s="62" customFormat="1" ht="14.25" customHeight="1" x14ac:dyDescent="0.3"/>
    <row r="315" s="62" customFormat="1" ht="14.25" customHeight="1" x14ac:dyDescent="0.3"/>
    <row r="316" s="62" customFormat="1" ht="14.25" customHeight="1" x14ac:dyDescent="0.3"/>
    <row r="317" s="62" customFormat="1" ht="14.25" customHeight="1" x14ac:dyDescent="0.3"/>
    <row r="318" s="62" customFormat="1" ht="14.25" customHeight="1" x14ac:dyDescent="0.3"/>
    <row r="319" s="62" customFormat="1" ht="14.25" customHeight="1" x14ac:dyDescent="0.3"/>
    <row r="320" s="62" customFormat="1" ht="14.25" customHeight="1" x14ac:dyDescent="0.3"/>
    <row r="321" s="62" customFormat="1" ht="14.25" customHeight="1" x14ac:dyDescent="0.3"/>
    <row r="322" s="62" customFormat="1" ht="14.25" customHeight="1" x14ac:dyDescent="0.3"/>
    <row r="323" s="62" customFormat="1" ht="14.25" customHeight="1" x14ac:dyDescent="0.3"/>
    <row r="324" s="62" customFormat="1" ht="14.25" customHeight="1" x14ac:dyDescent="0.3"/>
    <row r="325" s="62" customFormat="1" ht="14.25" customHeight="1" x14ac:dyDescent="0.3"/>
    <row r="326" s="62" customFormat="1" ht="14.25" customHeight="1" x14ac:dyDescent="0.3"/>
    <row r="327" s="62" customFormat="1" ht="14.25" customHeight="1" x14ac:dyDescent="0.3"/>
    <row r="328" s="62" customFormat="1" ht="14.25" customHeight="1" x14ac:dyDescent="0.3"/>
    <row r="329" s="62" customFormat="1" ht="14.25" customHeight="1" x14ac:dyDescent="0.3"/>
    <row r="330" s="62" customFormat="1" ht="14.25" customHeight="1" x14ac:dyDescent="0.3"/>
    <row r="331" s="62" customFormat="1" ht="14.25" customHeight="1" x14ac:dyDescent="0.3"/>
    <row r="332" s="62" customFormat="1" ht="14.25" customHeight="1" x14ac:dyDescent="0.3"/>
    <row r="333" s="62" customFormat="1" ht="14.25" customHeight="1" x14ac:dyDescent="0.3"/>
    <row r="334" s="62" customFormat="1" ht="14.25" customHeight="1" x14ac:dyDescent="0.3"/>
    <row r="335" s="62" customFormat="1" ht="14.25" customHeight="1" x14ac:dyDescent="0.3"/>
    <row r="336" s="62" customFormat="1" ht="14.25" customHeight="1" x14ac:dyDescent="0.3"/>
    <row r="337" s="62" customFormat="1" ht="14.25" customHeight="1" x14ac:dyDescent="0.3"/>
    <row r="338" s="62" customFormat="1" ht="14.25" customHeight="1" x14ac:dyDescent="0.3"/>
    <row r="339" s="62" customFormat="1" ht="14.25" customHeight="1" x14ac:dyDescent="0.3"/>
    <row r="340" s="62" customFormat="1" ht="14.25" customHeight="1" x14ac:dyDescent="0.3"/>
    <row r="341" s="62" customFormat="1" ht="14.25" customHeight="1" x14ac:dyDescent="0.3"/>
    <row r="342" s="62" customFormat="1" ht="14.25" customHeight="1" x14ac:dyDescent="0.3"/>
    <row r="343" s="62" customFormat="1" ht="14.25" customHeight="1" x14ac:dyDescent="0.3"/>
    <row r="344" s="62" customFormat="1" ht="14.25" customHeight="1" x14ac:dyDescent="0.3"/>
    <row r="345" s="62" customFormat="1" ht="14.25" customHeight="1" x14ac:dyDescent="0.3"/>
    <row r="346" s="62" customFormat="1" ht="14.25" customHeight="1" x14ac:dyDescent="0.3"/>
    <row r="347" s="62" customFormat="1" ht="14.25" customHeight="1" x14ac:dyDescent="0.3"/>
    <row r="348" s="62" customFormat="1" ht="14.25" customHeight="1" x14ac:dyDescent="0.3"/>
    <row r="349" s="62" customFormat="1" ht="14.25" customHeight="1" x14ac:dyDescent="0.3"/>
    <row r="350" s="62" customFormat="1" ht="14.25" customHeight="1" x14ac:dyDescent="0.3"/>
    <row r="351" s="62" customFormat="1" ht="14.25" customHeight="1" x14ac:dyDescent="0.3"/>
    <row r="352" s="62" customFormat="1" ht="14.25" customHeight="1" x14ac:dyDescent="0.3"/>
    <row r="353" s="62" customFormat="1" ht="14.25" customHeight="1" x14ac:dyDescent="0.3"/>
    <row r="354" s="62" customFormat="1" ht="14.25" customHeight="1" x14ac:dyDescent="0.3"/>
    <row r="355" s="62" customFormat="1" ht="14.25" customHeight="1" x14ac:dyDescent="0.3"/>
    <row r="356" s="62" customFormat="1" ht="14.25" customHeight="1" x14ac:dyDescent="0.3"/>
    <row r="357" s="62" customFormat="1" ht="14.25" customHeight="1" x14ac:dyDescent="0.3"/>
    <row r="358" s="62" customFormat="1" ht="14.25" customHeight="1" x14ac:dyDescent="0.3"/>
    <row r="359" s="62" customFormat="1" ht="14.25" customHeight="1" x14ac:dyDescent="0.3"/>
    <row r="360" s="62" customFormat="1" ht="14.25" customHeight="1" x14ac:dyDescent="0.3"/>
    <row r="361" s="62" customFormat="1" ht="14.25" customHeight="1" x14ac:dyDescent="0.3"/>
    <row r="362" s="62" customFormat="1" ht="14.25" customHeight="1" x14ac:dyDescent="0.3"/>
    <row r="363" s="62" customFormat="1" ht="14.25" customHeight="1" x14ac:dyDescent="0.3"/>
    <row r="364" s="62" customFormat="1" ht="14.25" customHeight="1" x14ac:dyDescent="0.3"/>
    <row r="365" s="62" customFormat="1" ht="14.25" customHeight="1" x14ac:dyDescent="0.3"/>
    <row r="366" s="62" customFormat="1" ht="14.25" customHeight="1" x14ac:dyDescent="0.3"/>
    <row r="367" s="62" customFormat="1" ht="14.25" customHeight="1" x14ac:dyDescent="0.3"/>
    <row r="368" s="62" customFormat="1" ht="14.25" customHeight="1" x14ac:dyDescent="0.3"/>
    <row r="369" s="62" customFormat="1" ht="14.25" customHeight="1" x14ac:dyDescent="0.3"/>
    <row r="370" s="62" customFormat="1" ht="14.25" customHeight="1" x14ac:dyDescent="0.3"/>
    <row r="371" s="62" customFormat="1" ht="14.25" customHeight="1" x14ac:dyDescent="0.3"/>
    <row r="372" s="62" customFormat="1" ht="14.25" customHeight="1" x14ac:dyDescent="0.3"/>
    <row r="373" s="62" customFormat="1" ht="14.25" customHeight="1" x14ac:dyDescent="0.3"/>
    <row r="374" s="62" customFormat="1" ht="14.25" customHeight="1" x14ac:dyDescent="0.3"/>
    <row r="375" s="62" customFormat="1" ht="14.25" customHeight="1" x14ac:dyDescent="0.3"/>
    <row r="376" s="62" customFormat="1" ht="14.25" customHeight="1" x14ac:dyDescent="0.3"/>
    <row r="377" s="62" customFormat="1" ht="14.25" customHeight="1" x14ac:dyDescent="0.3"/>
    <row r="378" s="62" customFormat="1" ht="14.25" customHeight="1" x14ac:dyDescent="0.3"/>
    <row r="379" s="62" customFormat="1" ht="14.25" customHeight="1" x14ac:dyDescent="0.3"/>
    <row r="380" s="62" customFormat="1" ht="14.25" customHeight="1" x14ac:dyDescent="0.3"/>
    <row r="381" s="62" customFormat="1" ht="14.25" customHeight="1" x14ac:dyDescent="0.3"/>
    <row r="382" s="62" customFormat="1" ht="14.25" customHeight="1" x14ac:dyDescent="0.3"/>
    <row r="383" s="62" customFormat="1" ht="14.25" customHeight="1" x14ac:dyDescent="0.3"/>
    <row r="384" s="62" customFormat="1" ht="14.25" customHeight="1" x14ac:dyDescent="0.3"/>
    <row r="385" s="62" customFormat="1" ht="14.25" customHeight="1" x14ac:dyDescent="0.3"/>
    <row r="386" s="62" customFormat="1" ht="14.25" customHeight="1" x14ac:dyDescent="0.3"/>
    <row r="387" s="62" customFormat="1" ht="14.25" customHeight="1" x14ac:dyDescent="0.3"/>
    <row r="388" s="62" customFormat="1" ht="14.25" customHeight="1" x14ac:dyDescent="0.3"/>
    <row r="389" s="62" customFormat="1" ht="14.25" customHeight="1" x14ac:dyDescent="0.3"/>
    <row r="390" s="62" customFormat="1" ht="14.25" customHeight="1" x14ac:dyDescent="0.3"/>
    <row r="391" s="62" customFormat="1" ht="14.25" customHeight="1" x14ac:dyDescent="0.3"/>
    <row r="392" s="62" customFormat="1" ht="14.25" customHeight="1" x14ac:dyDescent="0.3"/>
    <row r="393" s="62" customFormat="1" ht="14.25" customHeight="1" x14ac:dyDescent="0.3"/>
    <row r="394" s="62" customFormat="1" ht="14.25" customHeight="1" x14ac:dyDescent="0.3"/>
    <row r="395" s="62" customFormat="1" ht="14.25" customHeight="1" x14ac:dyDescent="0.3"/>
    <row r="396" s="62" customFormat="1" ht="14.25" customHeight="1" x14ac:dyDescent="0.3"/>
    <row r="397" s="62" customFormat="1" ht="14.25" customHeight="1" x14ac:dyDescent="0.3"/>
    <row r="398" s="62" customFormat="1" ht="14.25" customHeight="1" x14ac:dyDescent="0.3"/>
    <row r="399" s="62" customFormat="1" ht="14.25" customHeight="1" x14ac:dyDescent="0.3"/>
    <row r="400" s="62" customFormat="1" ht="14.25" customHeight="1" x14ac:dyDescent="0.3"/>
    <row r="401" s="62" customFormat="1" ht="14.25" customHeight="1" x14ac:dyDescent="0.3"/>
    <row r="402" s="62" customFormat="1" ht="14.25" customHeight="1" x14ac:dyDescent="0.3"/>
    <row r="403" s="62" customFormat="1" ht="14.25" customHeight="1" x14ac:dyDescent="0.3"/>
    <row r="404" s="62" customFormat="1" ht="14.25" customHeight="1" x14ac:dyDescent="0.3"/>
    <row r="405" s="62" customFormat="1" ht="14.25" customHeight="1" x14ac:dyDescent="0.3"/>
    <row r="406" s="62" customFormat="1" ht="14.25" customHeight="1" x14ac:dyDescent="0.3"/>
    <row r="407" s="62" customFormat="1" ht="14.25" customHeight="1" x14ac:dyDescent="0.3"/>
    <row r="408" s="62" customFormat="1" ht="14.25" customHeight="1" x14ac:dyDescent="0.3"/>
    <row r="409" s="62" customFormat="1" ht="14.25" customHeight="1" x14ac:dyDescent="0.3"/>
    <row r="410" s="62" customFormat="1" ht="14.25" customHeight="1" x14ac:dyDescent="0.3"/>
    <row r="411" s="62" customFormat="1" ht="14.25" customHeight="1" x14ac:dyDescent="0.3"/>
    <row r="412" s="62" customFormat="1" ht="14.25" customHeight="1" x14ac:dyDescent="0.3"/>
    <row r="413" s="62" customFormat="1" ht="14.25" customHeight="1" x14ac:dyDescent="0.3"/>
    <row r="414" s="62" customFormat="1" ht="14.25" customHeight="1" x14ac:dyDescent="0.3"/>
    <row r="415" s="62" customFormat="1" ht="14.25" customHeight="1" x14ac:dyDescent="0.3"/>
    <row r="416" s="62" customFormat="1" ht="14.25" customHeight="1" x14ac:dyDescent="0.3"/>
    <row r="417" s="62" customFormat="1" ht="14.25" customHeight="1" x14ac:dyDescent="0.3"/>
    <row r="418" s="62" customFormat="1" ht="14.25" customHeight="1" x14ac:dyDescent="0.3"/>
    <row r="419" s="62" customFormat="1" ht="14.25" customHeight="1" x14ac:dyDescent="0.3"/>
    <row r="420" s="62" customFormat="1" ht="14.25" customHeight="1" x14ac:dyDescent="0.3"/>
    <row r="421" s="62" customFormat="1" ht="14.25" customHeight="1" x14ac:dyDescent="0.3"/>
    <row r="422" s="62" customFormat="1" ht="14.25" customHeight="1" x14ac:dyDescent="0.3"/>
    <row r="423" s="62" customFormat="1" ht="14.25" customHeight="1" x14ac:dyDescent="0.3"/>
    <row r="424" s="62" customFormat="1" ht="14.25" customHeight="1" x14ac:dyDescent="0.3"/>
    <row r="425" s="62" customFormat="1" ht="14.25" customHeight="1" x14ac:dyDescent="0.3"/>
    <row r="426" s="62" customFormat="1" ht="14.25" customHeight="1" x14ac:dyDescent="0.3"/>
    <row r="427" s="62" customFormat="1" ht="14.25" customHeight="1" x14ac:dyDescent="0.3"/>
    <row r="428" s="62" customFormat="1" ht="14.25" customHeight="1" x14ac:dyDescent="0.3"/>
    <row r="429" s="62" customFormat="1" ht="14.25" customHeight="1" x14ac:dyDescent="0.3"/>
    <row r="430" s="62" customFormat="1" ht="14.25" customHeight="1" x14ac:dyDescent="0.3"/>
    <row r="431" s="62" customFormat="1" ht="14.25" customHeight="1" x14ac:dyDescent="0.3"/>
    <row r="432" s="62" customFormat="1" ht="14.25" customHeight="1" x14ac:dyDescent="0.3"/>
    <row r="433" s="62" customFormat="1" ht="14.25" customHeight="1" x14ac:dyDescent="0.3"/>
    <row r="434" s="62" customFormat="1" ht="14.25" customHeight="1" x14ac:dyDescent="0.3"/>
    <row r="435" s="62" customFormat="1" ht="14.25" customHeight="1" x14ac:dyDescent="0.3"/>
    <row r="436" s="62" customFormat="1" ht="14.25" customHeight="1" x14ac:dyDescent="0.3"/>
    <row r="437" s="62" customFormat="1" ht="14.25" customHeight="1" x14ac:dyDescent="0.3"/>
    <row r="438" s="62" customFormat="1" ht="14.25" customHeight="1" x14ac:dyDescent="0.3"/>
    <row r="439" s="62" customFormat="1" ht="14.25" customHeight="1" x14ac:dyDescent="0.3"/>
    <row r="440" s="62" customFormat="1" ht="14.25" customHeight="1" x14ac:dyDescent="0.3"/>
    <row r="441" s="62" customFormat="1" ht="14.25" customHeight="1" x14ac:dyDescent="0.3"/>
    <row r="442" s="62" customFormat="1" ht="14.25" customHeight="1" x14ac:dyDescent="0.3"/>
    <row r="443" s="62" customFormat="1" ht="14.25" customHeight="1" x14ac:dyDescent="0.3"/>
    <row r="444" s="62" customFormat="1" ht="14.25" customHeight="1" x14ac:dyDescent="0.3"/>
    <row r="445" s="62" customFormat="1" ht="14.25" customHeight="1" x14ac:dyDescent="0.3"/>
    <row r="446" s="62" customFormat="1" ht="14.25" customHeight="1" x14ac:dyDescent="0.3"/>
    <row r="447" s="62" customFormat="1" ht="14.25" customHeight="1" x14ac:dyDescent="0.3"/>
    <row r="448" s="62" customFormat="1" ht="14.25" customHeight="1" x14ac:dyDescent="0.3"/>
    <row r="449" s="62" customFormat="1" ht="14.25" customHeight="1" x14ac:dyDescent="0.3"/>
    <row r="450" s="62" customFormat="1" ht="14.25" customHeight="1" x14ac:dyDescent="0.3"/>
    <row r="451" s="62" customFormat="1" ht="14.25" customHeight="1" x14ac:dyDescent="0.3"/>
    <row r="452" s="62" customFormat="1" ht="14.25" customHeight="1" x14ac:dyDescent="0.3"/>
    <row r="453" s="62" customFormat="1" ht="14.25" customHeight="1" x14ac:dyDescent="0.3"/>
    <row r="454" s="62" customFormat="1" ht="14.25" customHeight="1" x14ac:dyDescent="0.3"/>
    <row r="455" s="62" customFormat="1" ht="14.25" customHeight="1" x14ac:dyDescent="0.3"/>
    <row r="456" s="62" customFormat="1" ht="14.25" customHeight="1" x14ac:dyDescent="0.3"/>
    <row r="457" s="62" customFormat="1" ht="14.25" customHeight="1" x14ac:dyDescent="0.3"/>
    <row r="458" s="62" customFormat="1" ht="14.25" customHeight="1" x14ac:dyDescent="0.3"/>
    <row r="459" s="62" customFormat="1" ht="14.25" customHeight="1" x14ac:dyDescent="0.3"/>
    <row r="460" s="62" customFormat="1" ht="14.25" customHeight="1" x14ac:dyDescent="0.3"/>
    <row r="461" s="62" customFormat="1" ht="14.25" customHeight="1" x14ac:dyDescent="0.3"/>
    <row r="462" s="62" customFormat="1" ht="14.25" customHeight="1" x14ac:dyDescent="0.3"/>
    <row r="463" s="62" customFormat="1" ht="14.25" customHeight="1" x14ac:dyDescent="0.3"/>
    <row r="464" s="62" customFormat="1" ht="14.25" customHeight="1" x14ac:dyDescent="0.3"/>
    <row r="465" s="62" customFormat="1" ht="14.25" customHeight="1" x14ac:dyDescent="0.3"/>
    <row r="466" s="62" customFormat="1" ht="14.25" customHeight="1" x14ac:dyDescent="0.3"/>
    <row r="467" s="62" customFormat="1" ht="14.25" customHeight="1" x14ac:dyDescent="0.3"/>
    <row r="468" s="62" customFormat="1" ht="14.25" customHeight="1" x14ac:dyDescent="0.3"/>
    <row r="469" s="62" customFormat="1" ht="14.25" customHeight="1" x14ac:dyDescent="0.3"/>
    <row r="470" s="62" customFormat="1" ht="14.25" customHeight="1" x14ac:dyDescent="0.3"/>
    <row r="471" s="62" customFormat="1" ht="14.25" customHeight="1" x14ac:dyDescent="0.3"/>
    <row r="472" s="62" customFormat="1" ht="14.25" customHeight="1" x14ac:dyDescent="0.3"/>
    <row r="473" s="62" customFormat="1" ht="14.25" customHeight="1" x14ac:dyDescent="0.3"/>
    <row r="474" s="62" customFormat="1" ht="14.25" customHeight="1" x14ac:dyDescent="0.3"/>
    <row r="475" s="62" customFormat="1" ht="14.25" customHeight="1" x14ac:dyDescent="0.3"/>
    <row r="476" s="62" customFormat="1" ht="14.25" customHeight="1" x14ac:dyDescent="0.3"/>
    <row r="477" s="62" customFormat="1" ht="14.25" customHeight="1" x14ac:dyDescent="0.3"/>
    <row r="478" s="62" customFormat="1" ht="14.25" customHeight="1" x14ac:dyDescent="0.3"/>
    <row r="479" s="62" customFormat="1" ht="14.25" customHeight="1" x14ac:dyDescent="0.3"/>
    <row r="480" s="62" customFormat="1" ht="14.25" customHeight="1" x14ac:dyDescent="0.3"/>
    <row r="481" s="62" customFormat="1" ht="14.25" customHeight="1" x14ac:dyDescent="0.3"/>
    <row r="482" s="62" customFormat="1" ht="14.25" customHeight="1" x14ac:dyDescent="0.3"/>
    <row r="483" s="62" customFormat="1" ht="14.25" customHeight="1" x14ac:dyDescent="0.3"/>
    <row r="484" s="62" customFormat="1" ht="14.25" customHeight="1" x14ac:dyDescent="0.3"/>
    <row r="485" s="62" customFormat="1" ht="14.25" customHeight="1" x14ac:dyDescent="0.3"/>
    <row r="486" s="62" customFormat="1" ht="14.25" customHeight="1" x14ac:dyDescent="0.3"/>
    <row r="487" s="62" customFormat="1" ht="14.25" customHeight="1" x14ac:dyDescent="0.3"/>
    <row r="488" s="62" customFormat="1" ht="14.25" customHeight="1" x14ac:dyDescent="0.3"/>
    <row r="489" s="62" customFormat="1" ht="14.25" customHeight="1" x14ac:dyDescent="0.3"/>
    <row r="490" s="62" customFormat="1" ht="14.25" customHeight="1" x14ac:dyDescent="0.3"/>
    <row r="491" s="62" customFormat="1" ht="14.25" customHeight="1" x14ac:dyDescent="0.3"/>
    <row r="492" s="62" customFormat="1" ht="14.25" customHeight="1" x14ac:dyDescent="0.3"/>
    <row r="493" s="62" customFormat="1" ht="14.25" customHeight="1" x14ac:dyDescent="0.3"/>
    <row r="494" s="62" customFormat="1" ht="14.25" customHeight="1" x14ac:dyDescent="0.3"/>
    <row r="495" s="62" customFormat="1" ht="14.25" customHeight="1" x14ac:dyDescent="0.3"/>
    <row r="496" s="62" customFormat="1" ht="14.25" customHeight="1" x14ac:dyDescent="0.3"/>
    <row r="497" s="62" customFormat="1" ht="14.25" customHeight="1" x14ac:dyDescent="0.3"/>
    <row r="498" s="62" customFormat="1" ht="14.25" customHeight="1" x14ac:dyDescent="0.3"/>
    <row r="499" s="62" customFormat="1" ht="14.25" customHeight="1" x14ac:dyDescent="0.3"/>
    <row r="500" s="62" customFormat="1" ht="14.25" customHeight="1" x14ac:dyDescent="0.3"/>
    <row r="501" s="62" customFormat="1" ht="14.25" customHeight="1" x14ac:dyDescent="0.3"/>
    <row r="502" s="62" customFormat="1" ht="14.25" customHeight="1" x14ac:dyDescent="0.3"/>
    <row r="503" s="62" customFormat="1" ht="14.25" customHeight="1" x14ac:dyDescent="0.3"/>
    <row r="504" s="62" customFormat="1" ht="14.25" customHeight="1" x14ac:dyDescent="0.3"/>
    <row r="505" s="62" customFormat="1" ht="14.25" customHeight="1" x14ac:dyDescent="0.3"/>
    <row r="506" s="62" customFormat="1" ht="14.25" customHeight="1" x14ac:dyDescent="0.3"/>
    <row r="507" s="62" customFormat="1" ht="14.25" customHeight="1" x14ac:dyDescent="0.3"/>
    <row r="508" s="62" customFormat="1" ht="14.25" customHeight="1" x14ac:dyDescent="0.3"/>
    <row r="509" s="62" customFormat="1" ht="14.25" customHeight="1" x14ac:dyDescent="0.3"/>
    <row r="510" s="62" customFormat="1" ht="14.25" customHeight="1" x14ac:dyDescent="0.3"/>
    <row r="511" s="62" customFormat="1" ht="14.25" customHeight="1" x14ac:dyDescent="0.3"/>
    <row r="512" s="62" customFormat="1" ht="14.25" customHeight="1" x14ac:dyDescent="0.3"/>
    <row r="513" s="62" customFormat="1" ht="14.25" customHeight="1" x14ac:dyDescent="0.3"/>
    <row r="514" s="62" customFormat="1" ht="14.25" customHeight="1" x14ac:dyDescent="0.3"/>
    <row r="515" s="62" customFormat="1" ht="14.25" customHeight="1" x14ac:dyDescent="0.3"/>
    <row r="516" s="62" customFormat="1" ht="14.25" customHeight="1" x14ac:dyDescent="0.3"/>
    <row r="517" s="62" customFormat="1" ht="14.25" customHeight="1" x14ac:dyDescent="0.3"/>
    <row r="518" s="62" customFormat="1" ht="14.25" customHeight="1" x14ac:dyDescent="0.3"/>
    <row r="519" s="62" customFormat="1" ht="14.25" customHeight="1" x14ac:dyDescent="0.3"/>
    <row r="520" s="62" customFormat="1" ht="14.25" customHeight="1" x14ac:dyDescent="0.3"/>
    <row r="521" s="62" customFormat="1" ht="14.25" customHeight="1" x14ac:dyDescent="0.3"/>
    <row r="522" s="62" customFormat="1" ht="14.25" customHeight="1" x14ac:dyDescent="0.3"/>
    <row r="523" s="62" customFormat="1" ht="14.25" customHeight="1" x14ac:dyDescent="0.3"/>
    <row r="524" s="62" customFormat="1" ht="14.25" customHeight="1" x14ac:dyDescent="0.3"/>
    <row r="525" s="62" customFormat="1" ht="14.25" customHeight="1" x14ac:dyDescent="0.3"/>
    <row r="526" s="62" customFormat="1" ht="14.25" customHeight="1" x14ac:dyDescent="0.3"/>
    <row r="527" s="62" customFormat="1" ht="14.25" customHeight="1" x14ac:dyDescent="0.3"/>
    <row r="528" s="62" customFormat="1" ht="14.25" customHeight="1" x14ac:dyDescent="0.3"/>
    <row r="529" s="62" customFormat="1" ht="14.25" customHeight="1" x14ac:dyDescent="0.3"/>
    <row r="530" s="62" customFormat="1" ht="14.25" customHeight="1" x14ac:dyDescent="0.3"/>
    <row r="531" s="62" customFormat="1" ht="14.25" customHeight="1" x14ac:dyDescent="0.3"/>
    <row r="532" s="62" customFormat="1" ht="14.25" customHeight="1" x14ac:dyDescent="0.3"/>
    <row r="533" s="62" customFormat="1" ht="14.25" customHeight="1" x14ac:dyDescent="0.3"/>
    <row r="534" s="62" customFormat="1" ht="14.25" customHeight="1" x14ac:dyDescent="0.3"/>
    <row r="535" s="62" customFormat="1" ht="14.25" customHeight="1" x14ac:dyDescent="0.3"/>
    <row r="536" s="62" customFormat="1" ht="14.25" customHeight="1" x14ac:dyDescent="0.3"/>
    <row r="537" s="62" customFormat="1" ht="14.25" customHeight="1" x14ac:dyDescent="0.3"/>
    <row r="538" s="62" customFormat="1" ht="14.25" customHeight="1" x14ac:dyDescent="0.3"/>
    <row r="539" s="62" customFormat="1" ht="14.25" customHeight="1" x14ac:dyDescent="0.3"/>
    <row r="540" s="62" customFormat="1" ht="14.25" customHeight="1" x14ac:dyDescent="0.3"/>
    <row r="541" s="62" customFormat="1" ht="14.25" customHeight="1" x14ac:dyDescent="0.3"/>
    <row r="542" s="62" customFormat="1" ht="14.25" customHeight="1" x14ac:dyDescent="0.3"/>
    <row r="543" s="62" customFormat="1" ht="14.25" customHeight="1" x14ac:dyDescent="0.3"/>
    <row r="544" s="62" customFormat="1" ht="14.25" customHeight="1" x14ac:dyDescent="0.3"/>
    <row r="545" s="62" customFormat="1" ht="14.25" customHeight="1" x14ac:dyDescent="0.3"/>
    <row r="546" s="62" customFormat="1" ht="14.25" customHeight="1" x14ac:dyDescent="0.3"/>
    <row r="547" s="62" customFormat="1" ht="14.25" customHeight="1" x14ac:dyDescent="0.3"/>
    <row r="548" s="62" customFormat="1" ht="14.25" customHeight="1" x14ac:dyDescent="0.3"/>
    <row r="549" s="62" customFormat="1" ht="14.25" customHeight="1" x14ac:dyDescent="0.3"/>
    <row r="550" s="62" customFormat="1" ht="14.25" customHeight="1" x14ac:dyDescent="0.3"/>
    <row r="551" s="62" customFormat="1" ht="14.25" customHeight="1" x14ac:dyDescent="0.3"/>
    <row r="552" s="62" customFormat="1" ht="14.25" customHeight="1" x14ac:dyDescent="0.3"/>
    <row r="553" s="62" customFormat="1" ht="14.25" customHeight="1" x14ac:dyDescent="0.3"/>
    <row r="554" s="62" customFormat="1" ht="14.25" customHeight="1" x14ac:dyDescent="0.3"/>
    <row r="555" s="62" customFormat="1" ht="14.25" customHeight="1" x14ac:dyDescent="0.3"/>
    <row r="556" s="62" customFormat="1" ht="14.25" customHeight="1" x14ac:dyDescent="0.3"/>
    <row r="557" s="62" customFormat="1" ht="14.25" customHeight="1" x14ac:dyDescent="0.3"/>
    <row r="558" s="62" customFormat="1" ht="14.25" customHeight="1" x14ac:dyDescent="0.3"/>
    <row r="559" s="62" customFormat="1" ht="14.25" customHeight="1" x14ac:dyDescent="0.3"/>
    <row r="560" s="62" customFormat="1" ht="14.25" customHeight="1" x14ac:dyDescent="0.3"/>
    <row r="561" s="62" customFormat="1" ht="14.25" customHeight="1" x14ac:dyDescent="0.3"/>
    <row r="562" s="62" customFormat="1" ht="14.25" customHeight="1" x14ac:dyDescent="0.3"/>
    <row r="563" s="62" customFormat="1" ht="14.25" customHeight="1" x14ac:dyDescent="0.3"/>
    <row r="564" s="62" customFormat="1" ht="14.25" customHeight="1" x14ac:dyDescent="0.3"/>
    <row r="565" s="62" customFormat="1" ht="14.25" customHeight="1" x14ac:dyDescent="0.3"/>
    <row r="566" s="62" customFormat="1" ht="14.25" customHeight="1" x14ac:dyDescent="0.3"/>
    <row r="567" s="62" customFormat="1" ht="14.25" customHeight="1" x14ac:dyDescent="0.3"/>
    <row r="568" s="62" customFormat="1" ht="14.25" customHeight="1" x14ac:dyDescent="0.3"/>
    <row r="569" s="62" customFormat="1" ht="14.25" customHeight="1" x14ac:dyDescent="0.3"/>
    <row r="570" s="62" customFormat="1" ht="14.25" customHeight="1" x14ac:dyDescent="0.3"/>
    <row r="571" s="62" customFormat="1" ht="14.25" customHeight="1" x14ac:dyDescent="0.3"/>
    <row r="572" s="62" customFormat="1" ht="14.25" customHeight="1" x14ac:dyDescent="0.3"/>
    <row r="573" s="62" customFormat="1" ht="14.25" customHeight="1" x14ac:dyDescent="0.3"/>
    <row r="574" s="62" customFormat="1" ht="14.25" customHeight="1" x14ac:dyDescent="0.3"/>
    <row r="575" s="62" customFormat="1" ht="14.25" customHeight="1" x14ac:dyDescent="0.3"/>
    <row r="576" s="62" customFormat="1" ht="14.25" customHeight="1" x14ac:dyDescent="0.3"/>
    <row r="577" s="62" customFormat="1" ht="14.25" customHeight="1" x14ac:dyDescent="0.3"/>
    <row r="578" s="62" customFormat="1" ht="14.25" customHeight="1" x14ac:dyDescent="0.3"/>
    <row r="579" s="62" customFormat="1" ht="14.25" customHeight="1" x14ac:dyDescent="0.3"/>
    <row r="580" s="62" customFormat="1" ht="14.25" customHeight="1" x14ac:dyDescent="0.3"/>
    <row r="581" s="62" customFormat="1" ht="14.25" customHeight="1" x14ac:dyDescent="0.3"/>
    <row r="582" s="62" customFormat="1" ht="14.25" customHeight="1" x14ac:dyDescent="0.3"/>
    <row r="583" s="62" customFormat="1" ht="14.25" customHeight="1" x14ac:dyDescent="0.3"/>
    <row r="584" s="62" customFormat="1" ht="14.25" customHeight="1" x14ac:dyDescent="0.3"/>
    <row r="585" s="62" customFormat="1" ht="14.25" customHeight="1" x14ac:dyDescent="0.3"/>
    <row r="586" s="62" customFormat="1" ht="14.25" customHeight="1" x14ac:dyDescent="0.3"/>
    <row r="587" s="62" customFormat="1" ht="14.25" customHeight="1" x14ac:dyDescent="0.3"/>
    <row r="588" s="62" customFormat="1" ht="14.25" customHeight="1" x14ac:dyDescent="0.3"/>
    <row r="589" s="62" customFormat="1" ht="14.25" customHeight="1" x14ac:dyDescent="0.3"/>
    <row r="590" s="62" customFormat="1" ht="14.25" customHeight="1" x14ac:dyDescent="0.3"/>
    <row r="591" s="62" customFormat="1" ht="14.25" customHeight="1" x14ac:dyDescent="0.3"/>
    <row r="592" s="62" customFormat="1" ht="14.25" customHeight="1" x14ac:dyDescent="0.3"/>
    <row r="593" s="62" customFormat="1" ht="14.25" customHeight="1" x14ac:dyDescent="0.3"/>
    <row r="594" s="62" customFormat="1" ht="14.25" customHeight="1" x14ac:dyDescent="0.3"/>
    <row r="595" s="62" customFormat="1" ht="14.25" customHeight="1" x14ac:dyDescent="0.3"/>
    <row r="596" s="62" customFormat="1" ht="14.25" customHeight="1" x14ac:dyDescent="0.3"/>
    <row r="597" s="62" customFormat="1" ht="14.25" customHeight="1" x14ac:dyDescent="0.3"/>
    <row r="598" s="62" customFormat="1" ht="14.25" customHeight="1" x14ac:dyDescent="0.3"/>
    <row r="599" s="62" customFormat="1" ht="14.25" customHeight="1" x14ac:dyDescent="0.3"/>
    <row r="600" s="62" customFormat="1" ht="14.25" customHeight="1" x14ac:dyDescent="0.3"/>
    <row r="601" s="62" customFormat="1" ht="14.25" customHeight="1" x14ac:dyDescent="0.3"/>
    <row r="602" s="62" customFormat="1" ht="14.25" customHeight="1" x14ac:dyDescent="0.3"/>
    <row r="603" s="62" customFormat="1" ht="14.25" customHeight="1" x14ac:dyDescent="0.3"/>
    <row r="604" s="62" customFormat="1" ht="14.25" customHeight="1" x14ac:dyDescent="0.3"/>
    <row r="605" s="62" customFormat="1" ht="14.25" customHeight="1" x14ac:dyDescent="0.3"/>
    <row r="606" s="62" customFormat="1" ht="14.25" customHeight="1" x14ac:dyDescent="0.3"/>
    <row r="607" s="62" customFormat="1" ht="14.25" customHeight="1" x14ac:dyDescent="0.3"/>
    <row r="608" s="62" customFormat="1" ht="14.25" customHeight="1" x14ac:dyDescent="0.3"/>
    <row r="609" s="62" customFormat="1" ht="14.25" customHeight="1" x14ac:dyDescent="0.3"/>
    <row r="610" s="62" customFormat="1" ht="14.25" customHeight="1" x14ac:dyDescent="0.3"/>
    <row r="611" s="62" customFormat="1" ht="14.25" customHeight="1" x14ac:dyDescent="0.3"/>
    <row r="612" s="62" customFormat="1" ht="14.25" customHeight="1" x14ac:dyDescent="0.3"/>
    <row r="613" s="62" customFormat="1" ht="14.25" customHeight="1" x14ac:dyDescent="0.3"/>
    <row r="614" s="62" customFormat="1" ht="14.25" customHeight="1" x14ac:dyDescent="0.3"/>
    <row r="615" s="62" customFormat="1" ht="14.25" customHeight="1" x14ac:dyDescent="0.3"/>
    <row r="616" s="62" customFormat="1" ht="14.25" customHeight="1" x14ac:dyDescent="0.3"/>
    <row r="617" s="62" customFormat="1" ht="14.25" customHeight="1" x14ac:dyDescent="0.3"/>
    <row r="618" s="62" customFormat="1" ht="14.25" customHeight="1" x14ac:dyDescent="0.3"/>
    <row r="619" s="62" customFormat="1" ht="14.25" customHeight="1" x14ac:dyDescent="0.3"/>
    <row r="620" s="62" customFormat="1" ht="14.25" customHeight="1" x14ac:dyDescent="0.3"/>
    <row r="621" s="62" customFormat="1" ht="14.25" customHeight="1" x14ac:dyDescent="0.3"/>
    <row r="622" s="62" customFormat="1" ht="14.25" customHeight="1" x14ac:dyDescent="0.3"/>
    <row r="623" s="62" customFormat="1" ht="14.25" customHeight="1" x14ac:dyDescent="0.3"/>
    <row r="624" s="62" customFormat="1" ht="14.25" customHeight="1" x14ac:dyDescent="0.3"/>
    <row r="625" s="62" customFormat="1" ht="14.25" customHeight="1" x14ac:dyDescent="0.3"/>
    <row r="626" s="62" customFormat="1" ht="14.25" customHeight="1" x14ac:dyDescent="0.3"/>
    <row r="627" s="62" customFormat="1" ht="14.25" customHeight="1" x14ac:dyDescent="0.3"/>
    <row r="628" s="62" customFormat="1" ht="14.25" customHeight="1" x14ac:dyDescent="0.3"/>
    <row r="629" s="62" customFormat="1" ht="14.25" customHeight="1" x14ac:dyDescent="0.3"/>
    <row r="630" s="62" customFormat="1" ht="14.25" customHeight="1" x14ac:dyDescent="0.3"/>
    <row r="631" s="62" customFormat="1" ht="14.25" customHeight="1" x14ac:dyDescent="0.3"/>
    <row r="632" s="62" customFormat="1" ht="14.25" customHeight="1" x14ac:dyDescent="0.3"/>
    <row r="633" s="62" customFormat="1" ht="14.25" customHeight="1" x14ac:dyDescent="0.3"/>
    <row r="634" s="62" customFormat="1" ht="14.25" customHeight="1" x14ac:dyDescent="0.3"/>
    <row r="635" s="62" customFormat="1" ht="14.25" customHeight="1" x14ac:dyDescent="0.3"/>
    <row r="636" s="62" customFormat="1" ht="14.25" customHeight="1" x14ac:dyDescent="0.3"/>
    <row r="637" s="62" customFormat="1" ht="14.25" customHeight="1" x14ac:dyDescent="0.3"/>
    <row r="638" s="62" customFormat="1" ht="14.25" customHeight="1" x14ac:dyDescent="0.3"/>
    <row r="639" s="62" customFormat="1" ht="14.25" customHeight="1" x14ac:dyDescent="0.3"/>
    <row r="640" s="62" customFormat="1" ht="14.25" customHeight="1" x14ac:dyDescent="0.3"/>
    <row r="641" s="62" customFormat="1" ht="14.25" customHeight="1" x14ac:dyDescent="0.3"/>
    <row r="642" s="62" customFormat="1" ht="14.25" customHeight="1" x14ac:dyDescent="0.3"/>
    <row r="643" s="62" customFormat="1" ht="14.25" customHeight="1" x14ac:dyDescent="0.3"/>
    <row r="644" s="62" customFormat="1" ht="14.25" customHeight="1" x14ac:dyDescent="0.3"/>
    <row r="645" s="62" customFormat="1" ht="14.25" customHeight="1" x14ac:dyDescent="0.3"/>
    <row r="646" s="62" customFormat="1" ht="14.25" customHeight="1" x14ac:dyDescent="0.3"/>
    <row r="647" s="62" customFormat="1" ht="14.25" customHeight="1" x14ac:dyDescent="0.3"/>
    <row r="648" s="62" customFormat="1" ht="14.25" customHeight="1" x14ac:dyDescent="0.3"/>
    <row r="649" s="62" customFormat="1" ht="14.25" customHeight="1" x14ac:dyDescent="0.3"/>
    <row r="650" s="62" customFormat="1" ht="14.25" customHeight="1" x14ac:dyDescent="0.3"/>
    <row r="651" s="62" customFormat="1" ht="14.25" customHeight="1" x14ac:dyDescent="0.3"/>
    <row r="652" s="62" customFormat="1" ht="14.25" customHeight="1" x14ac:dyDescent="0.3"/>
    <row r="653" s="62" customFormat="1" ht="14.25" customHeight="1" x14ac:dyDescent="0.3"/>
    <row r="654" s="62" customFormat="1" ht="14.25" customHeight="1" x14ac:dyDescent="0.3"/>
    <row r="655" s="62" customFormat="1" ht="14.25" customHeight="1" x14ac:dyDescent="0.3"/>
    <row r="656" s="62" customFormat="1" ht="14.25" customHeight="1" x14ac:dyDescent="0.3"/>
    <row r="657" s="62" customFormat="1" ht="14.25" customHeight="1" x14ac:dyDescent="0.3"/>
    <row r="658" s="62" customFormat="1" ht="14.25" customHeight="1" x14ac:dyDescent="0.3"/>
    <row r="659" s="62" customFormat="1" ht="14.25" customHeight="1" x14ac:dyDescent="0.3"/>
    <row r="660" s="62" customFormat="1" ht="14.25" customHeight="1" x14ac:dyDescent="0.3"/>
    <row r="661" s="62" customFormat="1" ht="14.25" customHeight="1" x14ac:dyDescent="0.3"/>
    <row r="662" s="62" customFormat="1" ht="14.25" customHeight="1" x14ac:dyDescent="0.3"/>
    <row r="663" s="62" customFormat="1" ht="14.25" customHeight="1" x14ac:dyDescent="0.3"/>
    <row r="664" s="62" customFormat="1" ht="14.25" customHeight="1" x14ac:dyDescent="0.3"/>
    <row r="665" s="62" customFormat="1" ht="14.25" customHeight="1" x14ac:dyDescent="0.3"/>
    <row r="666" s="62" customFormat="1" ht="14.25" customHeight="1" x14ac:dyDescent="0.3"/>
    <row r="667" s="62" customFormat="1" ht="14.25" customHeight="1" x14ac:dyDescent="0.3"/>
    <row r="668" s="62" customFormat="1" ht="14.25" customHeight="1" x14ac:dyDescent="0.3"/>
    <row r="669" s="62" customFormat="1" ht="14.25" customHeight="1" x14ac:dyDescent="0.3"/>
    <row r="670" s="62" customFormat="1" ht="14.25" customHeight="1" x14ac:dyDescent="0.3"/>
    <row r="671" s="62" customFormat="1" ht="14.25" customHeight="1" x14ac:dyDescent="0.3"/>
    <row r="672" s="62" customFormat="1" ht="14.25" customHeight="1" x14ac:dyDescent="0.3"/>
    <row r="673" s="62" customFormat="1" ht="14.25" customHeight="1" x14ac:dyDescent="0.3"/>
    <row r="674" s="62" customFormat="1" ht="14.25" customHeight="1" x14ac:dyDescent="0.3"/>
    <row r="675" s="62" customFormat="1" ht="14.25" customHeight="1" x14ac:dyDescent="0.3"/>
    <row r="676" s="62" customFormat="1" ht="14.25" customHeight="1" x14ac:dyDescent="0.3"/>
    <row r="677" s="62" customFormat="1" ht="14.25" customHeight="1" x14ac:dyDescent="0.3"/>
    <row r="678" s="62" customFormat="1" ht="14.25" customHeight="1" x14ac:dyDescent="0.3"/>
    <row r="679" s="62" customFormat="1" ht="14.25" customHeight="1" x14ac:dyDescent="0.3"/>
    <row r="680" s="62" customFormat="1" ht="14.25" customHeight="1" x14ac:dyDescent="0.3"/>
    <row r="681" s="62" customFormat="1" ht="14.25" customHeight="1" x14ac:dyDescent="0.3"/>
    <row r="682" s="62" customFormat="1" ht="14.25" customHeight="1" x14ac:dyDescent="0.3"/>
    <row r="683" s="62" customFormat="1" ht="14.25" customHeight="1" x14ac:dyDescent="0.3"/>
    <row r="684" s="62" customFormat="1" ht="14.25" customHeight="1" x14ac:dyDescent="0.3"/>
    <row r="685" s="62" customFormat="1" ht="14.25" customHeight="1" x14ac:dyDescent="0.3"/>
    <row r="686" s="62" customFormat="1" ht="14.25" customHeight="1" x14ac:dyDescent="0.3"/>
    <row r="687" s="62" customFormat="1" ht="14.25" customHeight="1" x14ac:dyDescent="0.3"/>
    <row r="688" s="62" customFormat="1" ht="14.25" customHeight="1" x14ac:dyDescent="0.3"/>
    <row r="689" s="62" customFormat="1" ht="14.25" customHeight="1" x14ac:dyDescent="0.3"/>
    <row r="690" s="62" customFormat="1" ht="14.25" customHeight="1" x14ac:dyDescent="0.3"/>
    <row r="691" s="62" customFormat="1" ht="14.25" customHeight="1" x14ac:dyDescent="0.3"/>
    <row r="692" s="62" customFormat="1" ht="14.25" customHeight="1" x14ac:dyDescent="0.3"/>
    <row r="693" s="62" customFormat="1" ht="14.25" customHeight="1" x14ac:dyDescent="0.3"/>
    <row r="694" s="62" customFormat="1" ht="14.25" customHeight="1" x14ac:dyDescent="0.3"/>
    <row r="695" s="62" customFormat="1" ht="14.25" customHeight="1" x14ac:dyDescent="0.3"/>
    <row r="696" s="62" customFormat="1" ht="14.25" customHeight="1" x14ac:dyDescent="0.3"/>
    <row r="697" s="62" customFormat="1" ht="14.25" customHeight="1" x14ac:dyDescent="0.3"/>
    <row r="698" s="62" customFormat="1" ht="14.25" customHeight="1" x14ac:dyDescent="0.3"/>
    <row r="699" s="62" customFormat="1" ht="14.25" customHeight="1" x14ac:dyDescent="0.3"/>
    <row r="700" s="62" customFormat="1" ht="14.25" customHeight="1" x14ac:dyDescent="0.3"/>
    <row r="701" s="62" customFormat="1" ht="14.25" customHeight="1" x14ac:dyDescent="0.3"/>
    <row r="702" s="62" customFormat="1" ht="14.25" customHeight="1" x14ac:dyDescent="0.3"/>
    <row r="703" s="62" customFormat="1" ht="14.25" customHeight="1" x14ac:dyDescent="0.3"/>
    <row r="704" s="62" customFormat="1" ht="14.25" customHeight="1" x14ac:dyDescent="0.3"/>
    <row r="705" s="62" customFormat="1" ht="14.25" customHeight="1" x14ac:dyDescent="0.3"/>
    <row r="706" s="62" customFormat="1" ht="14.25" customHeight="1" x14ac:dyDescent="0.3"/>
    <row r="707" s="62" customFormat="1" ht="14.25" customHeight="1" x14ac:dyDescent="0.3"/>
    <row r="708" s="62" customFormat="1" ht="14.25" customHeight="1" x14ac:dyDescent="0.3"/>
    <row r="709" s="62" customFormat="1" ht="14.25" customHeight="1" x14ac:dyDescent="0.3"/>
    <row r="710" s="62" customFormat="1" ht="14.25" customHeight="1" x14ac:dyDescent="0.3"/>
    <row r="711" s="62" customFormat="1" ht="14.25" customHeight="1" x14ac:dyDescent="0.3"/>
    <row r="712" s="62" customFormat="1" ht="14.25" customHeight="1" x14ac:dyDescent="0.3"/>
    <row r="713" s="62" customFormat="1" ht="14.25" customHeight="1" x14ac:dyDescent="0.3"/>
    <row r="714" s="62" customFormat="1" ht="14.25" customHeight="1" x14ac:dyDescent="0.3"/>
    <row r="715" s="62" customFormat="1" ht="14.25" customHeight="1" x14ac:dyDescent="0.3"/>
    <row r="716" s="62" customFormat="1" ht="14.25" customHeight="1" x14ac:dyDescent="0.3"/>
    <row r="717" s="62" customFormat="1" ht="14.25" customHeight="1" x14ac:dyDescent="0.3"/>
    <row r="718" s="62" customFormat="1" ht="14.25" customHeight="1" x14ac:dyDescent="0.3"/>
    <row r="719" s="62" customFormat="1" ht="14.25" customHeight="1" x14ac:dyDescent="0.3"/>
    <row r="720" s="62" customFormat="1" ht="14.25" customHeight="1" x14ac:dyDescent="0.3"/>
    <row r="721" s="62" customFormat="1" ht="14.25" customHeight="1" x14ac:dyDescent="0.3"/>
    <row r="722" s="62" customFormat="1" ht="14.25" customHeight="1" x14ac:dyDescent="0.3"/>
    <row r="723" s="62" customFormat="1" ht="14.25" customHeight="1" x14ac:dyDescent="0.3"/>
    <row r="724" s="62" customFormat="1" ht="14.25" customHeight="1" x14ac:dyDescent="0.3"/>
    <row r="725" s="62" customFormat="1" ht="14.25" customHeight="1" x14ac:dyDescent="0.3"/>
    <row r="726" s="62" customFormat="1" ht="14.25" customHeight="1" x14ac:dyDescent="0.3"/>
    <row r="727" s="62" customFormat="1" ht="14.25" customHeight="1" x14ac:dyDescent="0.3"/>
    <row r="728" s="62" customFormat="1" ht="14.25" customHeight="1" x14ac:dyDescent="0.3"/>
    <row r="729" s="62" customFormat="1" ht="14.25" customHeight="1" x14ac:dyDescent="0.3"/>
    <row r="730" s="62" customFormat="1" ht="14.25" customHeight="1" x14ac:dyDescent="0.3"/>
    <row r="731" s="62" customFormat="1" ht="14.25" customHeight="1" x14ac:dyDescent="0.3"/>
    <row r="732" s="62" customFormat="1" ht="14.25" customHeight="1" x14ac:dyDescent="0.3"/>
    <row r="733" s="62" customFormat="1" ht="14.25" customHeight="1" x14ac:dyDescent="0.3"/>
    <row r="734" s="62" customFormat="1" ht="14.25" customHeight="1" x14ac:dyDescent="0.3"/>
    <row r="735" s="62" customFormat="1" ht="14.25" customHeight="1" x14ac:dyDescent="0.3"/>
    <row r="736" s="62" customFormat="1" ht="14.25" customHeight="1" x14ac:dyDescent="0.3"/>
    <row r="737" s="62" customFormat="1" ht="14.25" customHeight="1" x14ac:dyDescent="0.3"/>
    <row r="738" s="62" customFormat="1" ht="14.25" customHeight="1" x14ac:dyDescent="0.3"/>
    <row r="739" s="62" customFormat="1" ht="14.25" customHeight="1" x14ac:dyDescent="0.3"/>
    <row r="740" s="62" customFormat="1" ht="14.25" customHeight="1" x14ac:dyDescent="0.3"/>
    <row r="741" s="62" customFormat="1" ht="14.25" customHeight="1" x14ac:dyDescent="0.3"/>
    <row r="742" s="62" customFormat="1" ht="14.25" customHeight="1" x14ac:dyDescent="0.3"/>
    <row r="743" s="62" customFormat="1" ht="14.25" customHeight="1" x14ac:dyDescent="0.3"/>
    <row r="744" s="62" customFormat="1" ht="14.25" customHeight="1" x14ac:dyDescent="0.3"/>
    <row r="745" s="62" customFormat="1" ht="14.25" customHeight="1" x14ac:dyDescent="0.3"/>
    <row r="746" s="62" customFormat="1" ht="14.25" customHeight="1" x14ac:dyDescent="0.3"/>
    <row r="747" s="62" customFormat="1" ht="14.25" customHeight="1" x14ac:dyDescent="0.3"/>
    <row r="748" s="62" customFormat="1" ht="14.25" customHeight="1" x14ac:dyDescent="0.3"/>
    <row r="749" s="62" customFormat="1" ht="14.25" customHeight="1" x14ac:dyDescent="0.3"/>
    <row r="750" s="62" customFormat="1" ht="14.25" customHeight="1" x14ac:dyDescent="0.3"/>
    <row r="751" s="62" customFormat="1" ht="14.25" customHeight="1" x14ac:dyDescent="0.3"/>
    <row r="752" s="62" customFormat="1" ht="14.25" customHeight="1" x14ac:dyDescent="0.3"/>
    <row r="753" s="62" customFormat="1" ht="14.25" customHeight="1" x14ac:dyDescent="0.3"/>
    <row r="754" s="62" customFormat="1" ht="14.25" customHeight="1" x14ac:dyDescent="0.3"/>
    <row r="755" s="62" customFormat="1" ht="14.25" customHeight="1" x14ac:dyDescent="0.3"/>
    <row r="756" s="62" customFormat="1" ht="14.25" customHeight="1" x14ac:dyDescent="0.3"/>
    <row r="757" s="62" customFormat="1" ht="14.25" customHeight="1" x14ac:dyDescent="0.3"/>
    <row r="758" s="62" customFormat="1" ht="14.25" customHeight="1" x14ac:dyDescent="0.3"/>
    <row r="759" s="62" customFormat="1" ht="14.25" customHeight="1" x14ac:dyDescent="0.3"/>
    <row r="760" s="62" customFormat="1" ht="14.25" customHeight="1" x14ac:dyDescent="0.3"/>
    <row r="761" s="62" customFormat="1" ht="14.25" customHeight="1" x14ac:dyDescent="0.3"/>
    <row r="762" s="62" customFormat="1" ht="14.25" customHeight="1" x14ac:dyDescent="0.3"/>
    <row r="763" s="62" customFormat="1" ht="14.25" customHeight="1" x14ac:dyDescent="0.3"/>
    <row r="764" s="62" customFormat="1" ht="14.25" customHeight="1" x14ac:dyDescent="0.3"/>
    <row r="765" s="62" customFormat="1" ht="14.25" customHeight="1" x14ac:dyDescent="0.3"/>
    <row r="766" s="62" customFormat="1" ht="14.25" customHeight="1" x14ac:dyDescent="0.3"/>
    <row r="767" s="62" customFormat="1" ht="14.25" customHeight="1" x14ac:dyDescent="0.3"/>
    <row r="768" s="62" customFormat="1" ht="14.25" customHeight="1" x14ac:dyDescent="0.3"/>
    <row r="769" s="62" customFormat="1" ht="14.25" customHeight="1" x14ac:dyDescent="0.3"/>
    <row r="770" s="62" customFormat="1" ht="14.25" customHeight="1" x14ac:dyDescent="0.3"/>
    <row r="771" s="62" customFormat="1" ht="14.25" customHeight="1" x14ac:dyDescent="0.3"/>
    <row r="772" s="62" customFormat="1" ht="14.25" customHeight="1" x14ac:dyDescent="0.3"/>
    <row r="773" s="62" customFormat="1" ht="14.25" customHeight="1" x14ac:dyDescent="0.3"/>
    <row r="774" s="62" customFormat="1" ht="14.25" customHeight="1" x14ac:dyDescent="0.3"/>
    <row r="775" s="62" customFormat="1" ht="14.25" customHeight="1" x14ac:dyDescent="0.3"/>
    <row r="776" s="62" customFormat="1" ht="14.25" customHeight="1" x14ac:dyDescent="0.3"/>
    <row r="777" s="62" customFormat="1" ht="14.25" customHeight="1" x14ac:dyDescent="0.3"/>
    <row r="778" s="62" customFormat="1" ht="14.25" customHeight="1" x14ac:dyDescent="0.3"/>
    <row r="779" s="62" customFormat="1" ht="14.25" customHeight="1" x14ac:dyDescent="0.3"/>
    <row r="780" s="62" customFormat="1" ht="14.25" customHeight="1" x14ac:dyDescent="0.3"/>
    <row r="781" s="62" customFormat="1" ht="14.25" customHeight="1" x14ac:dyDescent="0.3"/>
    <row r="782" s="62" customFormat="1" ht="14.25" customHeight="1" x14ac:dyDescent="0.3"/>
    <row r="783" s="62" customFormat="1" ht="14.25" customHeight="1" x14ac:dyDescent="0.3"/>
    <row r="784" s="62" customFormat="1" ht="14.25" customHeight="1" x14ac:dyDescent="0.3"/>
    <row r="785" s="62" customFormat="1" ht="14.25" customHeight="1" x14ac:dyDescent="0.3"/>
    <row r="786" s="62" customFormat="1" ht="14.25" customHeight="1" x14ac:dyDescent="0.3"/>
    <row r="787" s="62" customFormat="1" ht="14.25" customHeight="1" x14ac:dyDescent="0.3"/>
    <row r="788" s="62" customFormat="1" ht="14.25" customHeight="1" x14ac:dyDescent="0.3"/>
    <row r="789" s="62" customFormat="1" ht="14.25" customHeight="1" x14ac:dyDescent="0.3"/>
    <row r="790" s="62" customFormat="1" ht="14.25" customHeight="1" x14ac:dyDescent="0.3"/>
    <row r="791" s="62" customFormat="1" ht="14.25" customHeight="1" x14ac:dyDescent="0.3"/>
    <row r="792" s="62" customFormat="1" ht="14.25" customHeight="1" x14ac:dyDescent="0.3"/>
    <row r="793" s="62" customFormat="1" ht="14.25" customHeight="1" x14ac:dyDescent="0.3"/>
    <row r="794" s="62" customFormat="1" ht="14.25" customHeight="1" x14ac:dyDescent="0.3"/>
    <row r="795" s="62" customFormat="1" ht="14.25" customHeight="1" x14ac:dyDescent="0.3"/>
    <row r="796" s="62" customFormat="1" ht="14.25" customHeight="1" x14ac:dyDescent="0.3"/>
    <row r="797" s="62" customFormat="1" ht="14.25" customHeight="1" x14ac:dyDescent="0.3"/>
    <row r="798" s="62" customFormat="1" ht="14.25" customHeight="1" x14ac:dyDescent="0.3"/>
    <row r="799" s="62" customFormat="1" ht="14.25" customHeight="1" x14ac:dyDescent="0.3"/>
    <row r="800" s="62" customFormat="1" ht="14.25" customHeight="1" x14ac:dyDescent="0.3"/>
    <row r="801" s="62" customFormat="1" ht="14.25" customHeight="1" x14ac:dyDescent="0.3"/>
    <row r="802" s="62" customFormat="1" ht="14.25" customHeight="1" x14ac:dyDescent="0.3"/>
    <row r="803" s="62" customFormat="1" ht="14.25" customHeight="1" x14ac:dyDescent="0.3"/>
    <row r="804" s="62" customFormat="1" ht="14.25" customHeight="1" x14ac:dyDescent="0.3"/>
    <row r="805" s="62" customFormat="1" ht="14.25" customHeight="1" x14ac:dyDescent="0.3"/>
    <row r="806" s="62" customFormat="1" ht="14.25" customHeight="1" x14ac:dyDescent="0.3"/>
    <row r="807" s="62" customFormat="1" ht="14.25" customHeight="1" x14ac:dyDescent="0.3"/>
    <row r="808" s="62" customFormat="1" ht="14.25" customHeight="1" x14ac:dyDescent="0.3"/>
    <row r="809" s="62" customFormat="1" ht="14.25" customHeight="1" x14ac:dyDescent="0.3"/>
    <row r="810" s="62" customFormat="1" ht="14.25" customHeight="1" x14ac:dyDescent="0.3"/>
    <row r="811" s="62" customFormat="1" ht="14.25" customHeight="1" x14ac:dyDescent="0.3"/>
    <row r="812" s="62" customFormat="1" ht="14.25" customHeight="1" x14ac:dyDescent="0.3"/>
    <row r="813" s="62" customFormat="1" ht="14.25" customHeight="1" x14ac:dyDescent="0.3"/>
    <row r="814" s="62" customFormat="1" ht="14.25" customHeight="1" x14ac:dyDescent="0.3"/>
    <row r="815" s="62" customFormat="1" ht="14.25" customHeight="1" x14ac:dyDescent="0.3"/>
    <row r="816" s="62" customFormat="1" ht="14.25" customHeight="1" x14ac:dyDescent="0.3"/>
    <row r="817" s="62" customFormat="1" ht="14.25" customHeight="1" x14ac:dyDescent="0.3"/>
    <row r="818" s="62" customFormat="1" ht="14.25" customHeight="1" x14ac:dyDescent="0.3"/>
    <row r="819" s="62" customFormat="1" ht="14.25" customHeight="1" x14ac:dyDescent="0.3"/>
    <row r="820" s="62" customFormat="1" ht="14.25" customHeight="1" x14ac:dyDescent="0.3"/>
    <row r="821" s="62" customFormat="1" ht="14.25" customHeight="1" x14ac:dyDescent="0.3"/>
    <row r="822" s="62" customFormat="1" ht="14.25" customHeight="1" x14ac:dyDescent="0.3"/>
    <row r="823" s="62" customFormat="1" ht="14.25" customHeight="1" x14ac:dyDescent="0.3"/>
    <row r="824" s="62" customFormat="1" ht="14.25" customHeight="1" x14ac:dyDescent="0.3"/>
    <row r="825" s="62" customFormat="1" ht="14.25" customHeight="1" x14ac:dyDescent="0.3"/>
    <row r="826" s="62" customFormat="1" ht="14.25" customHeight="1" x14ac:dyDescent="0.3"/>
    <row r="827" s="62" customFormat="1" ht="14.25" customHeight="1" x14ac:dyDescent="0.3"/>
    <row r="828" s="62" customFormat="1" ht="14.25" customHeight="1" x14ac:dyDescent="0.3"/>
    <row r="829" s="62" customFormat="1" ht="14.25" customHeight="1" x14ac:dyDescent="0.3"/>
    <row r="830" s="62" customFormat="1" ht="14.25" customHeight="1" x14ac:dyDescent="0.3"/>
    <row r="831" s="62" customFormat="1" ht="14.25" customHeight="1" x14ac:dyDescent="0.3"/>
    <row r="832" s="62" customFormat="1" ht="14.25" customHeight="1" x14ac:dyDescent="0.3"/>
    <row r="833" s="62" customFormat="1" ht="14.25" customHeight="1" x14ac:dyDescent="0.3"/>
    <row r="834" s="62" customFormat="1" ht="14.25" customHeight="1" x14ac:dyDescent="0.3"/>
    <row r="835" s="62" customFormat="1" ht="14.25" customHeight="1" x14ac:dyDescent="0.3"/>
    <row r="836" s="62" customFormat="1" ht="14.25" customHeight="1" x14ac:dyDescent="0.3"/>
    <row r="837" s="62" customFormat="1" ht="14.25" customHeight="1" x14ac:dyDescent="0.3"/>
    <row r="838" s="62" customFormat="1" ht="14.25" customHeight="1" x14ac:dyDescent="0.3"/>
    <row r="839" s="62" customFormat="1" ht="14.25" customHeight="1" x14ac:dyDescent="0.3"/>
    <row r="840" s="62" customFormat="1" ht="14.25" customHeight="1" x14ac:dyDescent="0.3"/>
    <row r="841" s="62" customFormat="1" ht="14.25" customHeight="1" x14ac:dyDescent="0.3"/>
    <row r="842" s="62" customFormat="1" ht="14.25" customHeight="1" x14ac:dyDescent="0.3"/>
    <row r="843" s="62" customFormat="1" ht="14.25" customHeight="1" x14ac:dyDescent="0.3"/>
    <row r="844" s="62" customFormat="1" ht="14.25" customHeight="1" x14ac:dyDescent="0.3"/>
    <row r="845" s="62" customFormat="1" ht="14.25" customHeight="1" x14ac:dyDescent="0.3"/>
    <row r="846" s="62" customFormat="1" ht="14.25" customHeight="1" x14ac:dyDescent="0.3"/>
    <row r="847" s="62" customFormat="1" ht="14.25" customHeight="1" x14ac:dyDescent="0.3"/>
    <row r="848" s="62" customFormat="1" ht="14.25" customHeight="1" x14ac:dyDescent="0.3"/>
    <row r="849" s="62" customFormat="1" ht="14.25" customHeight="1" x14ac:dyDescent="0.3"/>
    <row r="850" s="62" customFormat="1" ht="14.25" customHeight="1" x14ac:dyDescent="0.3"/>
    <row r="851" s="62" customFormat="1" ht="14.25" customHeight="1" x14ac:dyDescent="0.3"/>
    <row r="852" s="62" customFormat="1" ht="14.25" customHeight="1" x14ac:dyDescent="0.3"/>
    <row r="853" s="62" customFormat="1" ht="14.25" customHeight="1" x14ac:dyDescent="0.3"/>
    <row r="854" s="62" customFormat="1" ht="14.25" customHeight="1" x14ac:dyDescent="0.3"/>
    <row r="855" s="62" customFormat="1" ht="14.25" customHeight="1" x14ac:dyDescent="0.3"/>
    <row r="856" s="62" customFormat="1" ht="14.25" customHeight="1" x14ac:dyDescent="0.3"/>
    <row r="857" s="62" customFormat="1" ht="14.25" customHeight="1" x14ac:dyDescent="0.3"/>
    <row r="858" s="62" customFormat="1" ht="14.25" customHeight="1" x14ac:dyDescent="0.3"/>
    <row r="859" s="62" customFormat="1" ht="14.25" customHeight="1" x14ac:dyDescent="0.3"/>
    <row r="860" s="62" customFormat="1" ht="14.25" customHeight="1" x14ac:dyDescent="0.3"/>
    <row r="861" s="62" customFormat="1" ht="14.25" customHeight="1" x14ac:dyDescent="0.3"/>
    <row r="862" s="62" customFormat="1" ht="14.25" customHeight="1" x14ac:dyDescent="0.3"/>
    <row r="863" s="62" customFormat="1" ht="14.25" customHeight="1" x14ac:dyDescent="0.3"/>
    <row r="864" s="62" customFormat="1" ht="14.25" customHeight="1" x14ac:dyDescent="0.3"/>
    <row r="865" s="62" customFormat="1" ht="14.25" customHeight="1" x14ac:dyDescent="0.3"/>
    <row r="866" s="62" customFormat="1" ht="14.25" customHeight="1" x14ac:dyDescent="0.3"/>
    <row r="867" s="62" customFormat="1" ht="14.25" customHeight="1" x14ac:dyDescent="0.3"/>
    <row r="868" s="62" customFormat="1" ht="14.25" customHeight="1" x14ac:dyDescent="0.3"/>
    <row r="869" s="62" customFormat="1" ht="14.25" customHeight="1" x14ac:dyDescent="0.3"/>
    <row r="870" s="62" customFormat="1" ht="14.25" customHeight="1" x14ac:dyDescent="0.3"/>
    <row r="871" s="62" customFormat="1" ht="14.25" customHeight="1" x14ac:dyDescent="0.3"/>
    <row r="872" s="62" customFormat="1" ht="14.25" customHeight="1" x14ac:dyDescent="0.3"/>
    <row r="873" s="62" customFormat="1" ht="14.25" customHeight="1" x14ac:dyDescent="0.3"/>
    <row r="874" s="62" customFormat="1" ht="14.25" customHeight="1" x14ac:dyDescent="0.3"/>
    <row r="875" s="62" customFormat="1" ht="14.25" customHeight="1" x14ac:dyDescent="0.3"/>
    <row r="876" s="62" customFormat="1" ht="14.25" customHeight="1" x14ac:dyDescent="0.3"/>
    <row r="877" s="62" customFormat="1" ht="14.25" customHeight="1" x14ac:dyDescent="0.3"/>
    <row r="878" s="62" customFormat="1" ht="14.25" customHeight="1" x14ac:dyDescent="0.3"/>
    <row r="879" s="62" customFormat="1" ht="14.25" customHeight="1" x14ac:dyDescent="0.3"/>
    <row r="880" s="62" customFormat="1" ht="14.25" customHeight="1" x14ac:dyDescent="0.3"/>
    <row r="881" s="62" customFormat="1" ht="14.25" customHeight="1" x14ac:dyDescent="0.3"/>
    <row r="882" s="62" customFormat="1" ht="14.25" customHeight="1" x14ac:dyDescent="0.3"/>
    <row r="883" s="62" customFormat="1" ht="14.25" customHeight="1" x14ac:dyDescent="0.3"/>
    <row r="884" s="62" customFormat="1" ht="14.25" customHeight="1" x14ac:dyDescent="0.3"/>
    <row r="885" s="62" customFormat="1" ht="14.25" customHeight="1" x14ac:dyDescent="0.3"/>
    <row r="886" s="62" customFormat="1" ht="14.25" customHeight="1" x14ac:dyDescent="0.3"/>
    <row r="887" s="62" customFormat="1" ht="14.25" customHeight="1" x14ac:dyDescent="0.3"/>
    <row r="888" s="62" customFormat="1" ht="14.25" customHeight="1" x14ac:dyDescent="0.3"/>
    <row r="889" s="62" customFormat="1" ht="14.25" customHeight="1" x14ac:dyDescent="0.3"/>
    <row r="890" s="62" customFormat="1" ht="14.25" customHeight="1" x14ac:dyDescent="0.3"/>
    <row r="891" s="62" customFormat="1" ht="14.25" customHeight="1" x14ac:dyDescent="0.3"/>
    <row r="892" s="62" customFormat="1" ht="14.25" customHeight="1" x14ac:dyDescent="0.3"/>
    <row r="893" s="62" customFormat="1" ht="14.25" customHeight="1" x14ac:dyDescent="0.3"/>
    <row r="894" s="62" customFormat="1" ht="14.25" customHeight="1" x14ac:dyDescent="0.3"/>
    <row r="895" s="62" customFormat="1" ht="14.25" customHeight="1" x14ac:dyDescent="0.3"/>
    <row r="896" s="62" customFormat="1" ht="14.25" customHeight="1" x14ac:dyDescent="0.3"/>
    <row r="897" s="62" customFormat="1" ht="14.25" customHeight="1" x14ac:dyDescent="0.3"/>
    <row r="898" s="62" customFormat="1" ht="14.25" customHeight="1" x14ac:dyDescent="0.3"/>
    <row r="899" s="62" customFormat="1" ht="14.25" customHeight="1" x14ac:dyDescent="0.3"/>
    <row r="900" s="62" customFormat="1" ht="14.25" customHeight="1" x14ac:dyDescent="0.3"/>
    <row r="901" s="62" customFormat="1" ht="14.25" customHeight="1" x14ac:dyDescent="0.3"/>
    <row r="902" s="62" customFormat="1" ht="14.25" customHeight="1" x14ac:dyDescent="0.3"/>
    <row r="903" s="62" customFormat="1" ht="14.25" customHeight="1" x14ac:dyDescent="0.3"/>
    <row r="904" s="62" customFormat="1" ht="14.25" customHeight="1" x14ac:dyDescent="0.3"/>
    <row r="905" s="62" customFormat="1" ht="14.25" customHeight="1" x14ac:dyDescent="0.3"/>
    <row r="906" s="62" customFormat="1" ht="14.25" customHeight="1" x14ac:dyDescent="0.3"/>
    <row r="907" s="62" customFormat="1" ht="14.25" customHeight="1" x14ac:dyDescent="0.3"/>
    <row r="908" s="62" customFormat="1" ht="14.25" customHeight="1" x14ac:dyDescent="0.3"/>
    <row r="909" s="62" customFormat="1" ht="14.25" customHeight="1" x14ac:dyDescent="0.3"/>
    <row r="910" s="62" customFormat="1" ht="14.25" customHeight="1" x14ac:dyDescent="0.3"/>
    <row r="911" s="62" customFormat="1" ht="14.25" customHeight="1" x14ac:dyDescent="0.3"/>
    <row r="912" s="62" customFormat="1" ht="14.25" customHeight="1" x14ac:dyDescent="0.3"/>
    <row r="913" s="62" customFormat="1" ht="14.25" customHeight="1" x14ac:dyDescent="0.3"/>
    <row r="914" s="62" customFormat="1" ht="14.25" customHeight="1" x14ac:dyDescent="0.3"/>
    <row r="915" s="62" customFormat="1" ht="14.25" customHeight="1" x14ac:dyDescent="0.3"/>
    <row r="916" s="62" customFormat="1" ht="14.25" customHeight="1" x14ac:dyDescent="0.3"/>
    <row r="917" s="62" customFormat="1" ht="14.25" customHeight="1" x14ac:dyDescent="0.3"/>
    <row r="918" s="62" customFormat="1" ht="14.25" customHeight="1" x14ac:dyDescent="0.3"/>
    <row r="919" s="62" customFormat="1" ht="14.25" customHeight="1" x14ac:dyDescent="0.3"/>
    <row r="920" s="62" customFormat="1" ht="14.25" customHeight="1" x14ac:dyDescent="0.3"/>
    <row r="921" s="62" customFormat="1" ht="14.25" customHeight="1" x14ac:dyDescent="0.3"/>
    <row r="922" s="62" customFormat="1" ht="14.25" customHeight="1" x14ac:dyDescent="0.3"/>
    <row r="923" s="62" customFormat="1" ht="14.25" customHeight="1" x14ac:dyDescent="0.3"/>
    <row r="924" s="62" customFormat="1" ht="14.25" customHeight="1" x14ac:dyDescent="0.3"/>
    <row r="925" s="62" customFormat="1" ht="14.25" customHeight="1" x14ac:dyDescent="0.3"/>
    <row r="926" s="62" customFormat="1" ht="14.25" customHeight="1" x14ac:dyDescent="0.3"/>
    <row r="927" s="62" customFormat="1" ht="14.25" customHeight="1" x14ac:dyDescent="0.3"/>
    <row r="928" s="62" customFormat="1" ht="14.25" customHeight="1" x14ac:dyDescent="0.3"/>
    <row r="929" s="62" customFormat="1" ht="14.25" customHeight="1" x14ac:dyDescent="0.3"/>
    <row r="930" s="62" customFormat="1" ht="14.25" customHeight="1" x14ac:dyDescent="0.3"/>
    <row r="931" s="62" customFormat="1" ht="14.25" customHeight="1" x14ac:dyDescent="0.3"/>
    <row r="932" s="62" customFormat="1" ht="14.25" customHeight="1" x14ac:dyDescent="0.3"/>
    <row r="933" s="62" customFormat="1" ht="14.25" customHeight="1" x14ac:dyDescent="0.3"/>
    <row r="934" s="62" customFormat="1" ht="14.25" customHeight="1" x14ac:dyDescent="0.3"/>
    <row r="935" s="62" customFormat="1" ht="14.25" customHeight="1" x14ac:dyDescent="0.3"/>
    <row r="936" s="62" customFormat="1" ht="14.25" customHeight="1" x14ac:dyDescent="0.3"/>
    <row r="937" s="62" customFormat="1" ht="14.25" customHeight="1" x14ac:dyDescent="0.3"/>
    <row r="938" s="62" customFormat="1" ht="14.25" customHeight="1" x14ac:dyDescent="0.3"/>
    <row r="939" s="62" customFormat="1" ht="14.25" customHeight="1" x14ac:dyDescent="0.3"/>
    <row r="940" s="62" customFormat="1" ht="14.25" customHeight="1" x14ac:dyDescent="0.3"/>
    <row r="941" s="62" customFormat="1" ht="14.25" customHeight="1" x14ac:dyDescent="0.3"/>
    <row r="942" s="62" customFormat="1" ht="14.25" customHeight="1" x14ac:dyDescent="0.3"/>
    <row r="943" s="62" customFormat="1" ht="14.25" customHeight="1" x14ac:dyDescent="0.3"/>
    <row r="944" s="62" customFormat="1" ht="14.25" customHeight="1" x14ac:dyDescent="0.3"/>
    <row r="945" s="62" customFormat="1" ht="14.25" customHeight="1" x14ac:dyDescent="0.3"/>
    <row r="946" s="62" customFormat="1" ht="14.25" customHeight="1" x14ac:dyDescent="0.3"/>
    <row r="947" s="62" customFormat="1" ht="14.25" customHeight="1" x14ac:dyDescent="0.3"/>
    <row r="948" s="62" customFormat="1" ht="14.25" customHeight="1" x14ac:dyDescent="0.3"/>
    <row r="949" s="62" customFormat="1" ht="14.25" customHeight="1" x14ac:dyDescent="0.3"/>
    <row r="950" s="62" customFormat="1" ht="14.25" customHeight="1" x14ac:dyDescent="0.3"/>
    <row r="951" s="62" customFormat="1" ht="14.25" customHeight="1" x14ac:dyDescent="0.3"/>
    <row r="952" s="62" customFormat="1" ht="14.25" customHeight="1" x14ac:dyDescent="0.3"/>
    <row r="953" s="62" customFormat="1" ht="14.25" customHeight="1" x14ac:dyDescent="0.3"/>
    <row r="954" s="62" customFormat="1" ht="14.25" customHeight="1" x14ac:dyDescent="0.3"/>
    <row r="955" s="62" customFormat="1" ht="14.25" customHeight="1" x14ac:dyDescent="0.3"/>
    <row r="956" s="62" customFormat="1" ht="14.25" customHeight="1" x14ac:dyDescent="0.3"/>
    <row r="957" s="62" customFormat="1" ht="14.25" customHeight="1" x14ac:dyDescent="0.3"/>
    <row r="958" s="62" customFormat="1" ht="14.25" customHeight="1" x14ac:dyDescent="0.3"/>
    <row r="959" s="62" customFormat="1" ht="14.25" customHeight="1" x14ac:dyDescent="0.3"/>
    <row r="960" s="62" customFormat="1" ht="14.25" customHeight="1" x14ac:dyDescent="0.3"/>
    <row r="961" s="62" customFormat="1" ht="14.25" customHeight="1" x14ac:dyDescent="0.3"/>
    <row r="962" s="62" customFormat="1" ht="14.25" customHeight="1" x14ac:dyDescent="0.3"/>
    <row r="963" s="62" customFormat="1" ht="14.25" customHeight="1" x14ac:dyDescent="0.3"/>
    <row r="964" s="62" customFormat="1" ht="14.25" customHeight="1" x14ac:dyDescent="0.3"/>
    <row r="965" s="62" customFormat="1" ht="14.25" customHeight="1" x14ac:dyDescent="0.3"/>
    <row r="966" s="62" customFormat="1" ht="14.25" customHeight="1" x14ac:dyDescent="0.3"/>
    <row r="967" s="62" customFormat="1" ht="14.25" customHeight="1" x14ac:dyDescent="0.3"/>
    <row r="968" s="62" customFormat="1" ht="14.25" customHeight="1" x14ac:dyDescent="0.3"/>
    <row r="969" s="62" customFormat="1" ht="14.25" customHeight="1" x14ac:dyDescent="0.3"/>
    <row r="970" s="62" customFormat="1" ht="14.25" customHeight="1" x14ac:dyDescent="0.3"/>
    <row r="971" s="62" customFormat="1" ht="14.25" customHeight="1" x14ac:dyDescent="0.3"/>
    <row r="972" s="62" customFormat="1" ht="14.25" customHeight="1" x14ac:dyDescent="0.3"/>
    <row r="973" s="62" customFormat="1" ht="14.25" customHeight="1" x14ac:dyDescent="0.3"/>
    <row r="974" s="62" customFormat="1" ht="14.25" customHeight="1" x14ac:dyDescent="0.3"/>
    <row r="975" s="62" customFormat="1" ht="14.25" customHeight="1" x14ac:dyDescent="0.3"/>
    <row r="976" s="62" customFormat="1" ht="14.25" customHeight="1" x14ac:dyDescent="0.3"/>
    <row r="977" s="62" customFormat="1" ht="14.25" customHeight="1" x14ac:dyDescent="0.3"/>
    <row r="978" s="62" customFormat="1" ht="14.25" customHeight="1" x14ac:dyDescent="0.3"/>
    <row r="979" s="62" customFormat="1" ht="14.25" customHeight="1" x14ac:dyDescent="0.3"/>
    <row r="980" s="62" customFormat="1" ht="14.25" customHeight="1" x14ac:dyDescent="0.3"/>
    <row r="981" s="62" customFormat="1" ht="14.25" customHeight="1" x14ac:dyDescent="0.3"/>
    <row r="982" s="62" customFormat="1" ht="14.25" customHeight="1" x14ac:dyDescent="0.3"/>
    <row r="983" s="62" customFormat="1" ht="14.25" customHeight="1" x14ac:dyDescent="0.3"/>
    <row r="984" s="62" customFormat="1" ht="14.25" customHeight="1" x14ac:dyDescent="0.3"/>
    <row r="985" s="62" customFormat="1" ht="14.25" customHeight="1" x14ac:dyDescent="0.3"/>
    <row r="986" s="62" customFormat="1" ht="14.25" customHeight="1" x14ac:dyDescent="0.3"/>
    <row r="987" s="62" customFormat="1" ht="14.25" customHeight="1" x14ac:dyDescent="0.3"/>
    <row r="988" s="62" customFormat="1" ht="14.25" customHeight="1" x14ac:dyDescent="0.3"/>
    <row r="989" s="62" customFormat="1" ht="14.25" customHeight="1" x14ac:dyDescent="0.3"/>
    <row r="990" s="62" customFormat="1" ht="14.25" customHeight="1" x14ac:dyDescent="0.3"/>
    <row r="991" s="62" customFormat="1" ht="14.25" customHeight="1" x14ac:dyDescent="0.3"/>
    <row r="992" s="62" customFormat="1" ht="14.25" customHeight="1" x14ac:dyDescent="0.3"/>
    <row r="993" s="62" customFormat="1" ht="14.25" customHeight="1" x14ac:dyDescent="0.3"/>
    <row r="994" s="62" customFormat="1" ht="14.25" customHeight="1" x14ac:dyDescent="0.3"/>
    <row r="995" s="62" customFormat="1" ht="14.25" customHeight="1" x14ac:dyDescent="0.3"/>
    <row r="996" s="62" customFormat="1" ht="14.25" customHeight="1" x14ac:dyDescent="0.3"/>
    <row r="997" s="62" customFormat="1" ht="14.25" customHeight="1" x14ac:dyDescent="0.3"/>
    <row r="998" s="62" customFormat="1" ht="14.25" customHeight="1" x14ac:dyDescent="0.3"/>
    <row r="999" s="62" customFormat="1" ht="14.25" customHeight="1" x14ac:dyDescent="0.3"/>
    <row r="1000" s="62" customFormat="1" ht="14.25" customHeight="1" x14ac:dyDescent="0.3"/>
  </sheetData>
  <mergeCells count="11">
    <mergeCell ref="B23:C23"/>
    <mergeCell ref="B28:C28"/>
    <mergeCell ref="B33:C33"/>
    <mergeCell ref="B38:C38"/>
    <mergeCell ref="A1:C1"/>
    <mergeCell ref="B18:C18"/>
    <mergeCell ref="D1:D2"/>
    <mergeCell ref="A2:C2"/>
    <mergeCell ref="B3:C3"/>
    <mergeCell ref="B8:C8"/>
    <mergeCell ref="B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PROBLEM</vt:lpstr>
      <vt:lpstr>JOURNAL </vt:lpstr>
      <vt:lpstr>LEDGER</vt:lpstr>
      <vt:lpstr>TRIAL BALANCE</vt:lpstr>
      <vt:lpstr>TRADING ACCOUNT</vt:lpstr>
      <vt:lpstr>P&amp;L ACCOUNT</vt:lpstr>
      <vt:lpstr>BALANCE SHEET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Melfin Immanuel</dc:creator>
  <cp:lastModifiedBy>Melfin Immanuel</cp:lastModifiedBy>
  <dcterms:created xsi:type="dcterms:W3CDTF">2026-10-14T11:03:36Z</dcterms:created>
  <dcterms:modified xsi:type="dcterms:W3CDTF">2026-10-14T16:16:51Z</dcterms:modified>
</cp:coreProperties>
</file>